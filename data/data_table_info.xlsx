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pol\Documents\capture_radius\"/>
    </mc:Choice>
  </mc:AlternateContent>
  <xr:revisionPtr revIDLastSave="0" documentId="13_ncr:1_{06695D54-8779-4F2B-95A9-8199180F8935}" xr6:coauthVersionLast="47" xr6:coauthVersionMax="47" xr10:uidLastSave="{00000000-0000-0000-0000-000000000000}"/>
  <bookViews>
    <workbookView xWindow="13" yWindow="13" windowWidth="20787" windowHeight="13134" xr2:uid="{4481B7E0-0563-41D9-886F-284062E32A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K37" i="1"/>
  <c r="I37" i="1"/>
  <c r="H37" i="1"/>
  <c r="F37" i="1"/>
  <c r="K36" i="1"/>
  <c r="I36" i="1"/>
  <c r="H36" i="1"/>
  <c r="F3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2" i="1"/>
  <c r="M37" i="1" l="1"/>
  <c r="L37" i="1"/>
  <c r="J37" i="1"/>
  <c r="G37" i="1"/>
  <c r="M36" i="1"/>
  <c r="G36" i="1"/>
  <c r="J36" i="1"/>
  <c r="L36" i="1"/>
</calcChain>
</file>

<file path=xl/sharedStrings.xml><?xml version="1.0" encoding="utf-8"?>
<sst xmlns="http://schemas.openxmlformats.org/spreadsheetml/2006/main" count="180" uniqueCount="93">
  <si>
    <t>Reference</t>
  </si>
  <si>
    <t>Cell type</t>
  </si>
  <si>
    <t>File name</t>
  </si>
  <si>
    <t xml:space="preserve">Organism </t>
  </si>
  <si>
    <t>Conditions</t>
  </si>
  <si>
    <t>full_logder_y_bonev_HiC_CN_1.mm10.mapq_30.1000.mcool.pickle</t>
  </si>
  <si>
    <t>cortical neurons</t>
  </si>
  <si>
    <t>mouse</t>
  </si>
  <si>
    <t>rep 1</t>
  </si>
  <si>
    <t>full_logder_y_bonev_HiC_CN_2.mm10.mapq_30.1000.mcool.pickle</t>
  </si>
  <si>
    <t>full_logder_y_bonev_HiC_CN_3.mm10.mapq_30.1000.mcool.pickle</t>
  </si>
  <si>
    <t>full_logder_y_bonev_HiC_CN_4.mm10.mapq_30.1000.mcool.pickle</t>
  </si>
  <si>
    <t>full_logder_y_bonev_HiC_CN_5.mm10.mapq_30.1000.mcool.pickle</t>
  </si>
  <si>
    <t>full_logder_y_bonev_HiC_CN_6.mm10.mapq_30.1000.mcool.pickle</t>
  </si>
  <si>
    <t>rep 2</t>
  </si>
  <si>
    <t>rep 3</t>
  </si>
  <si>
    <t>rep 4</t>
  </si>
  <si>
    <t>rep 5</t>
  </si>
  <si>
    <t>rep 6</t>
  </si>
  <si>
    <t>Bonev et al, Cell 2017</t>
  </si>
  <si>
    <t>full_logder_y_bonev_HiC_ES_1.mm10.mapq_30.1000.mcool.pickle</t>
  </si>
  <si>
    <t>full_logder_y_bonev_HiC_ES_4.mm10.mapq_30.1000.mcool.pickle</t>
  </si>
  <si>
    <t>full_logder_y_bonev_HiC_ES_3.mm10.mapq_30.1000.mcool.pickle</t>
  </si>
  <si>
    <t>full_logder_y_bonev_HiC_ES_2.mm10.mapq_30.1000.mcool.pickle</t>
  </si>
  <si>
    <t>embryonic stem</t>
  </si>
  <si>
    <t>full_logder_y_bonev_HiC_ncx_CN_1.mm10.mapq_30.1000.mcool.pickle</t>
  </si>
  <si>
    <t>full_logder_y_bonev_HiC_ncx_CN_2.mm10.mapq_30.1000.mcool.pickle</t>
  </si>
  <si>
    <t>full_logder_y_bonev_HiC_ncx_CN_3.mm10.mapq_30.1000.mcool.pickle</t>
  </si>
  <si>
    <t>full_logder_y_bonev_HiC_ncx_CN_4.mm10.mapq_30.1000.mcool.pickle</t>
  </si>
  <si>
    <t>in vivo Hi-C rep 1</t>
  </si>
  <si>
    <t>in vivo Hi-C rep 2</t>
  </si>
  <si>
    <t>in vivo Hi-C rep 3</t>
  </si>
  <si>
    <t>in vivo Hi-C rep 4</t>
  </si>
  <si>
    <t>full_logder_y_rao_GM12878_inSitu_DpnII.hg38.mapq_30.1000.mcool.pickle</t>
  </si>
  <si>
    <t>full_logder_y_rao_HMEC_inSitu_MboI.hg38.mapq_30.1000.mcool.pickle</t>
  </si>
  <si>
    <t>full_logder_y_rao_HUVEC_inSitu_MboI.hg38.mapq_30.1000.mcool.pickle</t>
  </si>
  <si>
    <t>full_logder_y_rao_IMR90_inSitu_MboI.hg38.mapq_30.1000.mcool.pickle</t>
  </si>
  <si>
    <t>full_logder_y_rao_K562_inSitu_MboI.hg38.mapq_30.1000.mcool.pickle</t>
  </si>
  <si>
    <t>full_logder_y_rao_KBM7_inSitu_MboI.hg38.mapq_30.1000.mcool.pickle</t>
  </si>
  <si>
    <t>full_logder_y_rao_NHEK_inSitu_MboI.hg38.mapq_30.1000.mcool.pickle</t>
  </si>
  <si>
    <t>in situ</t>
  </si>
  <si>
    <t>human</t>
  </si>
  <si>
    <t>GM12878</t>
  </si>
  <si>
    <t>HMEC</t>
  </si>
  <si>
    <t>HUVEC</t>
  </si>
  <si>
    <t>IMR90</t>
  </si>
  <si>
    <t>K562</t>
  </si>
  <si>
    <t>KBM7</t>
  </si>
  <si>
    <t>NHEK</t>
  </si>
  <si>
    <t>Rao et al, Cell 2014</t>
  </si>
  <si>
    <t>TAM control</t>
  </si>
  <si>
    <t>hepatocytes</t>
  </si>
  <si>
    <t>Schwarzer et al, Nature 2017</t>
  </si>
  <si>
    <t>control</t>
  </si>
  <si>
    <t>HeLa</t>
  </si>
  <si>
    <t>Wutz et al, EMBO 2017</t>
  </si>
  <si>
    <t>full_logder_y_schwarzer_TAM.mm10.mapq_30.1000.mcool.pickle</t>
  </si>
  <si>
    <t>full_logder_y_wutz_control.hg38.mapq_30.1000.mcool.pickle</t>
  </si>
  <si>
    <t>full_logder_y_oksuz_esc_U54-ESC4DN-DSG-DpnII-R1-R2_hg38.mapq_30.1000.mcool.pickle</t>
  </si>
  <si>
    <t>FA+DSG, DpnII, R1+R2</t>
  </si>
  <si>
    <t>ESC</t>
  </si>
  <si>
    <t>Oksuz et al, Nature Methods 2021</t>
  </si>
  <si>
    <t>full_logder_y_oksuz_esc_U54-ESC4DN-FA-DpnII-R1-R2_hg38.mapq_30.1000.mcool.pickle</t>
  </si>
  <si>
    <t>FA, DpnII, R1+R2</t>
  </si>
  <si>
    <t>full_logder_y_oksuz_hff_U54-HFFc6-DSG-DpnII-R1-R2_hg38.mapq_30.1000.mcool.pickle</t>
  </si>
  <si>
    <t>HFF</t>
  </si>
  <si>
    <t>FA, DpnII</t>
  </si>
  <si>
    <t>full_logder_y_zhang_mid_G1.pickle</t>
  </si>
  <si>
    <t>full_logder_y_oksuz_hff_hg38_deep.pickle</t>
  </si>
  <si>
    <t>mid G1</t>
  </si>
  <si>
    <t>erythroblasts</t>
  </si>
  <si>
    <t>Zhang et al, Nature 2019</t>
  </si>
  <si>
    <t>late G1</t>
  </si>
  <si>
    <t>full_logder_y_zhang_late_G1.pickle</t>
  </si>
  <si>
    <t>full_logder_y_abramo_4h.pickle</t>
  </si>
  <si>
    <t>full_logder_y_abramo_5h.pickle</t>
  </si>
  <si>
    <t>full_logder_y_abramo_6h.pickle</t>
  </si>
  <si>
    <t>full_logder_y_abramo_7h.pickle</t>
  </si>
  <si>
    <t>4h after prometa (mid G1)</t>
  </si>
  <si>
    <t>5h after prometa (mid G1)</t>
  </si>
  <si>
    <t>6h after prometa (late G1)</t>
  </si>
  <si>
    <t>7h after prometa (late G1)</t>
  </si>
  <si>
    <t>Abramo et al, Nat Cell Bio 2019</t>
  </si>
  <si>
    <t>Average</t>
  </si>
  <si>
    <t>Inferred T (from dip), kb</t>
  </si>
  <si>
    <t>Inferred T (curve), kb</t>
  </si>
  <si>
    <t>Inferred loop density (curve), per Mb</t>
  </si>
  <si>
    <t>Inferred v0 (dip), kb</t>
  </si>
  <si>
    <t>Inferred loop density (dip), per Mb</t>
  </si>
  <si>
    <t>Inferred v0 (curve), kb</t>
  </si>
  <si>
    <t>Std</t>
  </si>
  <si>
    <t>Inferred capture radius (curve), nm</t>
  </si>
  <si>
    <t>Inferred capture radius (dip), 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</si>
</sst>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284E-A531-4310-B12E-26938333D518}">
  <dimension ref="A1:M37"/>
  <sheetViews>
    <sheetView tabSelected="1" topLeftCell="D1" workbookViewId="0">
      <selection activeCell="G26" sqref="G26"/>
    </sheetView>
  </sheetViews>
  <sheetFormatPr defaultRowHeight="14.35" x14ac:dyDescent="0.5"/>
  <cols>
    <col min="1" max="1" width="31.8203125" customWidth="1"/>
    <col min="2" max="2" width="15.87890625" customWidth="1"/>
    <col min="3" max="3" width="14.234375" customWidth="1"/>
    <col min="4" max="4" width="22.1171875" customWidth="1"/>
    <col min="5" max="5" width="74.76171875" customWidth="1"/>
    <col min="6" max="6" width="31.234375" customWidth="1"/>
    <col min="7" max="7" width="43.05859375" style="3" customWidth="1"/>
    <col min="8" max="8" width="32.9375" customWidth="1"/>
    <col min="9" max="9" width="28.234375" customWidth="1"/>
    <col min="10" max="10" width="24.17578125" style="3" customWidth="1"/>
    <col min="11" max="11" width="23.5859375" customWidth="1"/>
    <col min="12" max="12" width="28.5859375" customWidth="1"/>
    <col min="13" max="13" width="33.64453125" customWidth="1"/>
  </cols>
  <sheetData>
    <row r="1" spans="1:13" x14ac:dyDescent="0.5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84</v>
      </c>
      <c r="G1" s="2" t="s">
        <v>88</v>
      </c>
      <c r="H1" s="1" t="s">
        <v>87</v>
      </c>
      <c r="I1" s="1" t="s">
        <v>85</v>
      </c>
      <c r="J1" s="2" t="s">
        <v>86</v>
      </c>
      <c r="K1" s="1" t="s">
        <v>89</v>
      </c>
      <c r="L1" s="1" t="s">
        <v>92</v>
      </c>
      <c r="M1" s="1" t="s">
        <v>91</v>
      </c>
    </row>
    <row r="2" spans="1:13" x14ac:dyDescent="0.5">
      <c r="A2" t="s">
        <v>19</v>
      </c>
      <c r="B2" t="s">
        <v>6</v>
      </c>
      <c r="C2" t="s">
        <v>7</v>
      </c>
      <c r="D2" t="s">
        <v>8</v>
      </c>
      <c r="E2" t="s">
        <v>5</v>
      </c>
      <c r="F2">
        <v>200</v>
      </c>
      <c r="G2" s="3">
        <f>1000/F2</f>
        <v>5</v>
      </c>
      <c r="H2">
        <v>8.5</v>
      </c>
      <c r="I2">
        <v>190</v>
      </c>
      <c r="J2" s="3">
        <f>1000/I2</f>
        <v>5.2631578947368425</v>
      </c>
      <c r="K2">
        <v>8.1999999999999993</v>
      </c>
      <c r="L2">
        <f>SQRT(1.5)*50*SQRT(H2)</f>
        <v>178.53571071357123</v>
      </c>
      <c r="M2">
        <f>SQRT(1.5)*50*SQRT(K2)</f>
        <v>175.3567791675018</v>
      </c>
    </row>
    <row r="3" spans="1:13" x14ac:dyDescent="0.5">
      <c r="A3" t="s">
        <v>19</v>
      </c>
      <c r="B3" t="s">
        <v>6</v>
      </c>
      <c r="C3" t="s">
        <v>7</v>
      </c>
      <c r="D3" t="s">
        <v>14</v>
      </c>
      <c r="E3" t="s">
        <v>9</v>
      </c>
      <c r="F3">
        <v>200</v>
      </c>
      <c r="G3" s="3">
        <f t="shared" ref="G3:G34" si="0">1000/F3</f>
        <v>5</v>
      </c>
      <c r="H3">
        <v>9</v>
      </c>
      <c r="I3">
        <v>160</v>
      </c>
      <c r="J3" s="3">
        <f t="shared" ref="J3:J34" si="1">1000/I3</f>
        <v>6.25</v>
      </c>
      <c r="K3">
        <v>7.2</v>
      </c>
      <c r="L3">
        <f t="shared" ref="L3:L34" si="2">SQRT(1.5)*50*SQRT(H3)</f>
        <v>183.71173070873834</v>
      </c>
      <c r="M3">
        <f t="shared" ref="M3:M34" si="3">SQRT(1.5)*50*SQRT(K3)</f>
        <v>164.31676725154983</v>
      </c>
    </row>
    <row r="4" spans="1:13" x14ac:dyDescent="0.5">
      <c r="A4" t="s">
        <v>19</v>
      </c>
      <c r="B4" t="s">
        <v>6</v>
      </c>
      <c r="C4" t="s">
        <v>7</v>
      </c>
      <c r="D4" t="s">
        <v>15</v>
      </c>
      <c r="E4" t="s">
        <v>10</v>
      </c>
      <c r="F4">
        <v>200</v>
      </c>
      <c r="G4" s="3">
        <f t="shared" si="0"/>
        <v>5</v>
      </c>
      <c r="H4">
        <v>8.5</v>
      </c>
      <c r="I4">
        <v>180</v>
      </c>
      <c r="J4" s="3">
        <f t="shared" si="1"/>
        <v>5.5555555555555554</v>
      </c>
      <c r="K4">
        <v>7.6</v>
      </c>
      <c r="L4">
        <f t="shared" si="2"/>
        <v>178.53571071357123</v>
      </c>
      <c r="M4">
        <f t="shared" si="3"/>
        <v>168.8194301613413</v>
      </c>
    </row>
    <row r="5" spans="1:13" x14ac:dyDescent="0.5">
      <c r="A5" t="s">
        <v>19</v>
      </c>
      <c r="B5" t="s">
        <v>6</v>
      </c>
      <c r="C5" t="s">
        <v>7</v>
      </c>
      <c r="D5" t="s">
        <v>16</v>
      </c>
      <c r="E5" t="s">
        <v>11</v>
      </c>
      <c r="F5">
        <v>230</v>
      </c>
      <c r="G5" s="3">
        <f t="shared" si="0"/>
        <v>4.3478260869565215</v>
      </c>
      <c r="H5">
        <v>10.1</v>
      </c>
      <c r="I5">
        <v>200</v>
      </c>
      <c r="J5" s="3">
        <f t="shared" si="1"/>
        <v>5</v>
      </c>
      <c r="K5">
        <v>9</v>
      </c>
      <c r="L5">
        <f t="shared" si="2"/>
        <v>194.61500456028563</v>
      </c>
      <c r="M5">
        <f t="shared" si="3"/>
        <v>183.71173070873834</v>
      </c>
    </row>
    <row r="6" spans="1:13" x14ac:dyDescent="0.5">
      <c r="A6" t="s">
        <v>19</v>
      </c>
      <c r="B6" t="s">
        <v>6</v>
      </c>
      <c r="C6" t="s">
        <v>7</v>
      </c>
      <c r="D6" t="s">
        <v>17</v>
      </c>
      <c r="E6" t="s">
        <v>12</v>
      </c>
      <c r="F6">
        <v>210</v>
      </c>
      <c r="G6" s="3">
        <f t="shared" si="0"/>
        <v>4.7619047619047619</v>
      </c>
      <c r="H6">
        <v>7.7</v>
      </c>
      <c r="I6">
        <v>200</v>
      </c>
      <c r="J6" s="3">
        <f t="shared" si="1"/>
        <v>5</v>
      </c>
      <c r="K6">
        <v>7.3</v>
      </c>
      <c r="L6">
        <f t="shared" si="2"/>
        <v>169.92645467966429</v>
      </c>
      <c r="M6">
        <f t="shared" si="3"/>
        <v>165.45392107774296</v>
      </c>
    </row>
    <row r="7" spans="1:13" x14ac:dyDescent="0.5">
      <c r="A7" t="s">
        <v>19</v>
      </c>
      <c r="B7" t="s">
        <v>6</v>
      </c>
      <c r="C7" t="s">
        <v>7</v>
      </c>
      <c r="D7" t="s">
        <v>18</v>
      </c>
      <c r="E7" t="s">
        <v>13</v>
      </c>
      <c r="F7">
        <v>210</v>
      </c>
      <c r="G7" s="3">
        <f t="shared" si="0"/>
        <v>4.7619047619047619</v>
      </c>
      <c r="H7">
        <v>8.4</v>
      </c>
      <c r="I7">
        <v>210</v>
      </c>
      <c r="J7" s="3">
        <f t="shared" si="1"/>
        <v>4.7619047619047619</v>
      </c>
      <c r="K7">
        <v>8.6</v>
      </c>
      <c r="L7">
        <f t="shared" si="2"/>
        <v>177.48239349298848</v>
      </c>
      <c r="M7">
        <f t="shared" si="3"/>
        <v>179.58284996067971</v>
      </c>
    </row>
    <row r="8" spans="1:13" x14ac:dyDescent="0.5">
      <c r="A8" t="s">
        <v>19</v>
      </c>
      <c r="B8" t="s">
        <v>24</v>
      </c>
      <c r="C8" t="s">
        <v>7</v>
      </c>
      <c r="D8" t="s">
        <v>8</v>
      </c>
      <c r="E8" t="s">
        <v>20</v>
      </c>
      <c r="F8">
        <v>200</v>
      </c>
      <c r="G8" s="3">
        <f t="shared" si="0"/>
        <v>5</v>
      </c>
      <c r="H8">
        <v>5.9</v>
      </c>
      <c r="I8">
        <v>200</v>
      </c>
      <c r="J8" s="3">
        <f t="shared" si="1"/>
        <v>5</v>
      </c>
      <c r="K8">
        <v>5.7</v>
      </c>
      <c r="L8">
        <f t="shared" si="2"/>
        <v>148.74474780643516</v>
      </c>
      <c r="M8">
        <f t="shared" si="3"/>
        <v>146.20191517213445</v>
      </c>
    </row>
    <row r="9" spans="1:13" x14ac:dyDescent="0.5">
      <c r="A9" t="s">
        <v>19</v>
      </c>
      <c r="B9" t="s">
        <v>24</v>
      </c>
      <c r="C9" t="s">
        <v>7</v>
      </c>
      <c r="D9" t="s">
        <v>14</v>
      </c>
      <c r="E9" t="s">
        <v>23</v>
      </c>
      <c r="F9">
        <v>200</v>
      </c>
      <c r="G9" s="3">
        <f t="shared" si="0"/>
        <v>5</v>
      </c>
      <c r="H9">
        <v>5.8</v>
      </c>
      <c r="I9">
        <v>190</v>
      </c>
      <c r="J9" s="3">
        <f t="shared" si="1"/>
        <v>5.2631578947368425</v>
      </c>
      <c r="K9">
        <v>5.5</v>
      </c>
      <c r="L9">
        <f t="shared" si="2"/>
        <v>147.47881203752627</v>
      </c>
      <c r="M9">
        <f t="shared" si="3"/>
        <v>143.6140661634507</v>
      </c>
    </row>
    <row r="10" spans="1:13" x14ac:dyDescent="0.5">
      <c r="A10" t="s">
        <v>19</v>
      </c>
      <c r="B10" t="s">
        <v>24</v>
      </c>
      <c r="C10" t="s">
        <v>7</v>
      </c>
      <c r="D10" t="s">
        <v>15</v>
      </c>
      <c r="E10" t="s">
        <v>22</v>
      </c>
      <c r="F10">
        <v>180</v>
      </c>
      <c r="G10" s="3">
        <f t="shared" si="0"/>
        <v>5.5555555555555554</v>
      </c>
      <c r="H10">
        <v>5</v>
      </c>
      <c r="I10">
        <v>210</v>
      </c>
      <c r="J10" s="3">
        <f t="shared" si="1"/>
        <v>4.7619047619047619</v>
      </c>
      <c r="K10">
        <v>5.8</v>
      </c>
      <c r="L10">
        <f t="shared" si="2"/>
        <v>136.93063937629154</v>
      </c>
      <c r="M10">
        <f t="shared" si="3"/>
        <v>147.47881203752627</v>
      </c>
    </row>
    <row r="11" spans="1:13" x14ac:dyDescent="0.5">
      <c r="A11" t="s">
        <v>19</v>
      </c>
      <c r="B11" t="s">
        <v>24</v>
      </c>
      <c r="C11" t="s">
        <v>7</v>
      </c>
      <c r="D11" t="s">
        <v>16</v>
      </c>
      <c r="E11" t="s">
        <v>21</v>
      </c>
      <c r="F11">
        <v>170</v>
      </c>
      <c r="G11" s="3">
        <f t="shared" si="0"/>
        <v>5.882352941176471</v>
      </c>
      <c r="H11">
        <v>5.6</v>
      </c>
      <c r="I11">
        <v>190</v>
      </c>
      <c r="J11" s="3">
        <f t="shared" si="1"/>
        <v>5.2631578947368425</v>
      </c>
      <c r="K11">
        <v>6.1</v>
      </c>
      <c r="L11">
        <f t="shared" si="2"/>
        <v>144.91376746189437</v>
      </c>
      <c r="M11">
        <f t="shared" si="3"/>
        <v>151.24483462254173</v>
      </c>
    </row>
    <row r="12" spans="1:13" x14ac:dyDescent="0.5">
      <c r="A12" t="s">
        <v>19</v>
      </c>
      <c r="B12" t="s">
        <v>6</v>
      </c>
      <c r="C12" t="s">
        <v>7</v>
      </c>
      <c r="D12" t="s">
        <v>29</v>
      </c>
      <c r="E12" t="s">
        <v>25</v>
      </c>
      <c r="F12">
        <v>200</v>
      </c>
      <c r="G12" s="3">
        <f t="shared" si="0"/>
        <v>5</v>
      </c>
      <c r="H12">
        <v>8.4</v>
      </c>
      <c r="I12">
        <v>180</v>
      </c>
      <c r="J12" s="3">
        <f t="shared" si="1"/>
        <v>5.5555555555555554</v>
      </c>
      <c r="K12">
        <v>7.5</v>
      </c>
      <c r="L12">
        <f t="shared" si="2"/>
        <v>177.48239349298848</v>
      </c>
      <c r="M12">
        <f t="shared" si="3"/>
        <v>167.70509831248421</v>
      </c>
    </row>
    <row r="13" spans="1:13" x14ac:dyDescent="0.5">
      <c r="A13" t="s">
        <v>19</v>
      </c>
      <c r="B13" t="s">
        <v>6</v>
      </c>
      <c r="C13" t="s">
        <v>7</v>
      </c>
      <c r="D13" t="s">
        <v>30</v>
      </c>
      <c r="E13" t="s">
        <v>26</v>
      </c>
      <c r="F13">
        <v>180</v>
      </c>
      <c r="G13" s="3">
        <f t="shared" si="0"/>
        <v>5.5555555555555554</v>
      </c>
      <c r="H13">
        <v>8</v>
      </c>
      <c r="I13">
        <v>180</v>
      </c>
      <c r="J13" s="3">
        <f t="shared" si="1"/>
        <v>5.5555555555555554</v>
      </c>
      <c r="K13">
        <v>8</v>
      </c>
      <c r="L13">
        <f t="shared" si="2"/>
        <v>173.20508075688772</v>
      </c>
      <c r="M13">
        <f t="shared" si="3"/>
        <v>173.20508075688772</v>
      </c>
    </row>
    <row r="14" spans="1:13" x14ac:dyDescent="0.5">
      <c r="A14" t="s">
        <v>19</v>
      </c>
      <c r="B14" t="s">
        <v>6</v>
      </c>
      <c r="C14" t="s">
        <v>7</v>
      </c>
      <c r="D14" t="s">
        <v>31</v>
      </c>
      <c r="E14" t="s">
        <v>27</v>
      </c>
      <c r="F14">
        <v>200</v>
      </c>
      <c r="G14" s="3">
        <f t="shared" si="0"/>
        <v>5</v>
      </c>
      <c r="H14">
        <v>9</v>
      </c>
      <c r="I14">
        <v>180</v>
      </c>
      <c r="J14" s="3">
        <f t="shared" si="1"/>
        <v>5.5555555555555554</v>
      </c>
      <c r="K14">
        <v>8.1</v>
      </c>
      <c r="L14">
        <f t="shared" si="2"/>
        <v>183.71173070873834</v>
      </c>
      <c r="M14">
        <f t="shared" si="3"/>
        <v>174.28425057933376</v>
      </c>
    </row>
    <row r="15" spans="1:13" x14ac:dyDescent="0.5">
      <c r="A15" t="s">
        <v>19</v>
      </c>
      <c r="B15" t="s">
        <v>6</v>
      </c>
      <c r="C15" t="s">
        <v>7</v>
      </c>
      <c r="D15" t="s">
        <v>32</v>
      </c>
      <c r="E15" t="s">
        <v>28</v>
      </c>
      <c r="F15">
        <v>190</v>
      </c>
      <c r="G15" s="3">
        <f t="shared" si="0"/>
        <v>5.2631578947368425</v>
      </c>
      <c r="H15">
        <v>9.3000000000000007</v>
      </c>
      <c r="I15">
        <v>160</v>
      </c>
      <c r="J15" s="3">
        <f t="shared" si="1"/>
        <v>6.25</v>
      </c>
      <c r="K15">
        <v>7.9</v>
      </c>
      <c r="L15">
        <f t="shared" si="2"/>
        <v>186.74849396983097</v>
      </c>
      <c r="M15">
        <f t="shared" si="3"/>
        <v>172.11914478058506</v>
      </c>
    </row>
    <row r="16" spans="1:13" x14ac:dyDescent="0.5">
      <c r="A16" t="s">
        <v>49</v>
      </c>
      <c r="B16" t="s">
        <v>42</v>
      </c>
      <c r="C16" t="s">
        <v>41</v>
      </c>
      <c r="D16" t="s">
        <v>40</v>
      </c>
      <c r="E16" t="s">
        <v>33</v>
      </c>
      <c r="F16">
        <v>140</v>
      </c>
      <c r="G16" s="3">
        <f t="shared" si="0"/>
        <v>7.1428571428571432</v>
      </c>
      <c r="H16">
        <v>3.2</v>
      </c>
      <c r="I16">
        <v>150</v>
      </c>
      <c r="J16" s="3">
        <f t="shared" si="1"/>
        <v>6.666666666666667</v>
      </c>
      <c r="K16">
        <v>3.2</v>
      </c>
      <c r="L16">
        <f t="shared" si="2"/>
        <v>109.54451150103321</v>
      </c>
      <c r="M16">
        <f t="shared" si="3"/>
        <v>109.54451150103321</v>
      </c>
    </row>
    <row r="17" spans="1:13" x14ac:dyDescent="0.5">
      <c r="A17" t="s">
        <v>49</v>
      </c>
      <c r="B17" t="s">
        <v>43</v>
      </c>
      <c r="C17" t="s">
        <v>41</v>
      </c>
      <c r="D17" t="s">
        <v>40</v>
      </c>
      <c r="E17" t="s">
        <v>34</v>
      </c>
      <c r="F17">
        <v>140</v>
      </c>
      <c r="G17" s="3">
        <f t="shared" si="0"/>
        <v>7.1428571428571432</v>
      </c>
      <c r="H17">
        <v>3.5</v>
      </c>
      <c r="I17">
        <v>140</v>
      </c>
      <c r="J17" s="3">
        <f t="shared" si="1"/>
        <v>7.1428571428571432</v>
      </c>
      <c r="K17">
        <v>3.6</v>
      </c>
      <c r="L17">
        <f t="shared" si="2"/>
        <v>114.56439237389598</v>
      </c>
      <c r="M17">
        <f t="shared" si="3"/>
        <v>116.18950038622249</v>
      </c>
    </row>
    <row r="18" spans="1:13" x14ac:dyDescent="0.5">
      <c r="A18" t="s">
        <v>49</v>
      </c>
      <c r="B18" t="s">
        <v>44</v>
      </c>
      <c r="C18" t="s">
        <v>41</v>
      </c>
      <c r="D18" t="s">
        <v>40</v>
      </c>
      <c r="E18" t="s">
        <v>35</v>
      </c>
      <c r="F18">
        <v>120</v>
      </c>
      <c r="G18" s="3">
        <f t="shared" si="0"/>
        <v>8.3333333333333339</v>
      </c>
      <c r="H18">
        <v>7.7</v>
      </c>
      <c r="I18">
        <v>120</v>
      </c>
      <c r="J18" s="3">
        <f t="shared" si="1"/>
        <v>8.3333333333333339</v>
      </c>
      <c r="K18">
        <v>7.3</v>
      </c>
      <c r="L18">
        <f t="shared" si="2"/>
        <v>169.92645467966429</v>
      </c>
      <c r="M18">
        <f t="shared" si="3"/>
        <v>165.45392107774296</v>
      </c>
    </row>
    <row r="19" spans="1:13" x14ac:dyDescent="0.5">
      <c r="A19" t="s">
        <v>49</v>
      </c>
      <c r="B19" t="s">
        <v>45</v>
      </c>
      <c r="C19" t="s">
        <v>41</v>
      </c>
      <c r="D19" t="s">
        <v>40</v>
      </c>
      <c r="E19" t="s">
        <v>36</v>
      </c>
      <c r="F19">
        <v>140</v>
      </c>
      <c r="G19" s="3">
        <f t="shared" si="0"/>
        <v>7.1428571428571432</v>
      </c>
      <c r="H19">
        <v>5.0999999999999996</v>
      </c>
      <c r="I19">
        <v>130</v>
      </c>
      <c r="J19" s="3">
        <f t="shared" si="1"/>
        <v>7.6923076923076925</v>
      </c>
      <c r="K19">
        <v>4.4000000000000004</v>
      </c>
      <c r="L19">
        <f t="shared" si="2"/>
        <v>138.2931668593933</v>
      </c>
      <c r="M19">
        <f t="shared" si="3"/>
        <v>128.4523257866513</v>
      </c>
    </row>
    <row r="20" spans="1:13" x14ac:dyDescent="0.5">
      <c r="A20" t="s">
        <v>49</v>
      </c>
      <c r="B20" t="s">
        <v>46</v>
      </c>
      <c r="C20" t="s">
        <v>41</v>
      </c>
      <c r="D20" t="s">
        <v>40</v>
      </c>
      <c r="E20" t="s">
        <v>37</v>
      </c>
      <c r="F20">
        <v>120</v>
      </c>
      <c r="G20" s="3">
        <f t="shared" si="0"/>
        <v>8.3333333333333339</v>
      </c>
      <c r="H20">
        <v>5</v>
      </c>
      <c r="I20">
        <v>140</v>
      </c>
      <c r="J20" s="3">
        <f t="shared" si="1"/>
        <v>7.1428571428571432</v>
      </c>
      <c r="K20">
        <v>5.7</v>
      </c>
      <c r="L20">
        <f t="shared" si="2"/>
        <v>136.93063937629154</v>
      </c>
      <c r="M20">
        <f t="shared" si="3"/>
        <v>146.20191517213445</v>
      </c>
    </row>
    <row r="21" spans="1:13" x14ac:dyDescent="0.5">
      <c r="A21" t="s">
        <v>49</v>
      </c>
      <c r="B21" t="s">
        <v>47</v>
      </c>
      <c r="C21" t="s">
        <v>41</v>
      </c>
      <c r="D21" t="s">
        <v>40</v>
      </c>
      <c r="E21" t="s">
        <v>38</v>
      </c>
      <c r="F21">
        <v>170</v>
      </c>
      <c r="G21" s="3">
        <f t="shared" si="0"/>
        <v>5.882352941176471</v>
      </c>
      <c r="H21">
        <v>11.9</v>
      </c>
      <c r="I21">
        <v>160</v>
      </c>
      <c r="J21" s="3">
        <f t="shared" si="1"/>
        <v>6.25</v>
      </c>
      <c r="K21">
        <v>11.3</v>
      </c>
      <c r="L21">
        <f t="shared" si="2"/>
        <v>211.24630174277607</v>
      </c>
      <c r="M21">
        <f t="shared" si="3"/>
        <v>205.85188850238899</v>
      </c>
    </row>
    <row r="22" spans="1:13" x14ac:dyDescent="0.5">
      <c r="A22" t="s">
        <v>49</v>
      </c>
      <c r="B22" t="s">
        <v>48</v>
      </c>
      <c r="C22" t="s">
        <v>41</v>
      </c>
      <c r="D22" t="s">
        <v>40</v>
      </c>
      <c r="E22" t="s">
        <v>39</v>
      </c>
      <c r="F22">
        <v>210</v>
      </c>
      <c r="G22" s="3">
        <f t="shared" si="0"/>
        <v>4.7619047619047619</v>
      </c>
      <c r="H22">
        <v>7.3</v>
      </c>
      <c r="I22">
        <v>180</v>
      </c>
      <c r="J22" s="3">
        <f t="shared" si="1"/>
        <v>5.5555555555555554</v>
      </c>
      <c r="K22">
        <v>6.3</v>
      </c>
      <c r="L22">
        <f t="shared" si="2"/>
        <v>165.45392107774296</v>
      </c>
      <c r="M22">
        <f t="shared" si="3"/>
        <v>153.70426148939396</v>
      </c>
    </row>
    <row r="23" spans="1:13" x14ac:dyDescent="0.5">
      <c r="A23" t="s">
        <v>52</v>
      </c>
      <c r="B23" t="s">
        <v>51</v>
      </c>
      <c r="C23" t="s">
        <v>7</v>
      </c>
      <c r="D23" t="s">
        <v>50</v>
      </c>
      <c r="E23" t="s">
        <v>56</v>
      </c>
      <c r="F23">
        <v>240</v>
      </c>
      <c r="G23" s="3">
        <f t="shared" si="0"/>
        <v>4.166666666666667</v>
      </c>
      <c r="H23">
        <v>9.1999999999999993</v>
      </c>
      <c r="I23">
        <v>240</v>
      </c>
      <c r="J23" s="3">
        <f t="shared" si="1"/>
        <v>4.166666666666667</v>
      </c>
      <c r="K23">
        <v>6.8</v>
      </c>
      <c r="L23">
        <f t="shared" si="2"/>
        <v>185.74175621006708</v>
      </c>
      <c r="M23">
        <f t="shared" si="3"/>
        <v>159.6871942267131</v>
      </c>
    </row>
    <row r="24" spans="1:13" x14ac:dyDescent="0.5">
      <c r="A24" t="s">
        <v>55</v>
      </c>
      <c r="B24" t="s">
        <v>54</v>
      </c>
      <c r="C24" t="s">
        <v>41</v>
      </c>
      <c r="D24" t="s">
        <v>53</v>
      </c>
      <c r="E24" t="s">
        <v>57</v>
      </c>
      <c r="F24">
        <v>140</v>
      </c>
      <c r="G24" s="3">
        <f t="shared" si="0"/>
        <v>7.1428571428571432</v>
      </c>
      <c r="H24">
        <v>1.9</v>
      </c>
      <c r="I24">
        <v>130</v>
      </c>
      <c r="J24" s="3">
        <f t="shared" si="1"/>
        <v>7.6923076923076925</v>
      </c>
      <c r="K24">
        <v>1.9</v>
      </c>
      <c r="L24">
        <f t="shared" si="2"/>
        <v>84.409715080670651</v>
      </c>
      <c r="M24">
        <f t="shared" si="3"/>
        <v>84.409715080670651</v>
      </c>
    </row>
    <row r="25" spans="1:13" x14ac:dyDescent="0.5">
      <c r="A25" t="s">
        <v>61</v>
      </c>
      <c r="B25" t="s">
        <v>60</v>
      </c>
      <c r="C25" t="s">
        <v>41</v>
      </c>
      <c r="D25" t="s">
        <v>59</v>
      </c>
      <c r="E25" t="s">
        <v>58</v>
      </c>
      <c r="F25">
        <v>110</v>
      </c>
      <c r="G25" s="3">
        <f t="shared" si="0"/>
        <v>9.0909090909090917</v>
      </c>
      <c r="H25">
        <v>3</v>
      </c>
      <c r="I25">
        <v>110</v>
      </c>
      <c r="J25" s="3">
        <f t="shared" si="1"/>
        <v>9.0909090909090917</v>
      </c>
      <c r="K25">
        <v>3</v>
      </c>
      <c r="L25">
        <f t="shared" si="2"/>
        <v>106.06601717798212</v>
      </c>
      <c r="M25">
        <f t="shared" si="3"/>
        <v>106.06601717798212</v>
      </c>
    </row>
    <row r="26" spans="1:13" x14ac:dyDescent="0.5">
      <c r="A26" t="s">
        <v>61</v>
      </c>
      <c r="B26" t="s">
        <v>60</v>
      </c>
      <c r="C26" t="s">
        <v>41</v>
      </c>
      <c r="D26" t="s">
        <v>63</v>
      </c>
      <c r="E26" t="s">
        <v>62</v>
      </c>
      <c r="F26">
        <v>130</v>
      </c>
      <c r="G26" s="3">
        <f t="shared" si="0"/>
        <v>7.6923076923076925</v>
      </c>
      <c r="H26">
        <v>9.1</v>
      </c>
      <c r="I26">
        <v>130</v>
      </c>
      <c r="J26" s="3">
        <f t="shared" si="1"/>
        <v>7.6923076923076925</v>
      </c>
      <c r="K26">
        <v>9</v>
      </c>
      <c r="L26">
        <f t="shared" si="2"/>
        <v>184.72953201911164</v>
      </c>
      <c r="M26">
        <f t="shared" si="3"/>
        <v>183.71173070873834</v>
      </c>
    </row>
    <row r="27" spans="1:13" x14ac:dyDescent="0.5">
      <c r="A27" t="s">
        <v>61</v>
      </c>
      <c r="B27" t="s">
        <v>65</v>
      </c>
      <c r="C27" t="s">
        <v>41</v>
      </c>
      <c r="D27" t="s">
        <v>59</v>
      </c>
      <c r="E27" t="s">
        <v>64</v>
      </c>
      <c r="F27">
        <v>120</v>
      </c>
      <c r="G27" s="3">
        <f t="shared" si="0"/>
        <v>8.3333333333333339</v>
      </c>
      <c r="H27">
        <v>1.7</v>
      </c>
      <c r="I27">
        <v>150</v>
      </c>
      <c r="J27" s="3">
        <f t="shared" si="1"/>
        <v>6.666666666666667</v>
      </c>
      <c r="K27">
        <v>2</v>
      </c>
      <c r="L27">
        <f t="shared" si="2"/>
        <v>79.843597113356552</v>
      </c>
      <c r="M27">
        <f t="shared" si="3"/>
        <v>86.602540378443862</v>
      </c>
    </row>
    <row r="28" spans="1:13" x14ac:dyDescent="0.5">
      <c r="A28" t="s">
        <v>61</v>
      </c>
      <c r="B28" t="s">
        <v>65</v>
      </c>
      <c r="C28" t="s">
        <v>41</v>
      </c>
      <c r="D28" t="s">
        <v>66</v>
      </c>
      <c r="E28" t="s">
        <v>68</v>
      </c>
      <c r="F28">
        <v>170</v>
      </c>
      <c r="G28" s="3">
        <f t="shared" si="0"/>
        <v>5.882352941176471</v>
      </c>
      <c r="H28">
        <v>7.2</v>
      </c>
      <c r="I28">
        <v>160</v>
      </c>
      <c r="J28" s="3">
        <f t="shared" si="1"/>
        <v>6.25</v>
      </c>
      <c r="K28">
        <v>6.6</v>
      </c>
      <c r="L28">
        <f t="shared" si="2"/>
        <v>164.31676725154983</v>
      </c>
      <c r="M28">
        <f t="shared" si="3"/>
        <v>157.32132722552271</v>
      </c>
    </row>
    <row r="29" spans="1:13" x14ac:dyDescent="0.5">
      <c r="A29" t="s">
        <v>71</v>
      </c>
      <c r="B29" t="s">
        <v>70</v>
      </c>
      <c r="C29" t="s">
        <v>7</v>
      </c>
      <c r="D29" t="s">
        <v>69</v>
      </c>
      <c r="E29" t="s">
        <v>67</v>
      </c>
      <c r="F29">
        <v>130</v>
      </c>
      <c r="G29" s="3">
        <f t="shared" si="0"/>
        <v>7.6923076923076925</v>
      </c>
      <c r="H29">
        <v>2.2000000000000002</v>
      </c>
      <c r="I29">
        <v>160</v>
      </c>
      <c r="J29" s="3">
        <f t="shared" si="1"/>
        <v>6.25</v>
      </c>
      <c r="K29">
        <v>2.2999999999999998</v>
      </c>
      <c r="L29">
        <f t="shared" si="2"/>
        <v>90.829510622924744</v>
      </c>
      <c r="M29">
        <f t="shared" si="3"/>
        <v>92.87087810503354</v>
      </c>
    </row>
    <row r="30" spans="1:13" x14ac:dyDescent="0.5">
      <c r="A30" t="s">
        <v>71</v>
      </c>
      <c r="B30" t="s">
        <v>70</v>
      </c>
      <c r="C30" t="s">
        <v>7</v>
      </c>
      <c r="D30" t="s">
        <v>72</v>
      </c>
      <c r="E30" t="s">
        <v>73</v>
      </c>
      <c r="F30">
        <v>130</v>
      </c>
      <c r="G30" s="3">
        <f t="shared" si="0"/>
        <v>7.6923076923076925</v>
      </c>
      <c r="H30">
        <v>2.6</v>
      </c>
      <c r="I30">
        <v>150</v>
      </c>
      <c r="J30" s="3">
        <f t="shared" si="1"/>
        <v>6.666666666666667</v>
      </c>
      <c r="K30">
        <v>2.7</v>
      </c>
      <c r="L30">
        <f t="shared" si="2"/>
        <v>98.742088290657492</v>
      </c>
      <c r="M30">
        <f t="shared" si="3"/>
        <v>100.62305898749054</v>
      </c>
    </row>
    <row r="31" spans="1:13" x14ac:dyDescent="0.5">
      <c r="A31" t="s">
        <v>82</v>
      </c>
      <c r="B31" t="s">
        <v>54</v>
      </c>
      <c r="C31" t="s">
        <v>41</v>
      </c>
      <c r="D31" t="s">
        <v>78</v>
      </c>
      <c r="E31" t="s">
        <v>74</v>
      </c>
      <c r="F31">
        <v>150</v>
      </c>
      <c r="G31" s="3">
        <f t="shared" si="0"/>
        <v>6.666666666666667</v>
      </c>
      <c r="H31">
        <v>6.7</v>
      </c>
      <c r="I31">
        <v>150</v>
      </c>
      <c r="J31" s="3">
        <f t="shared" si="1"/>
        <v>6.666666666666667</v>
      </c>
      <c r="K31">
        <v>6.6</v>
      </c>
      <c r="L31">
        <f t="shared" si="2"/>
        <v>158.50867484147358</v>
      </c>
      <c r="M31">
        <f t="shared" si="3"/>
        <v>157.32132722552271</v>
      </c>
    </row>
    <row r="32" spans="1:13" x14ac:dyDescent="0.5">
      <c r="A32" t="s">
        <v>82</v>
      </c>
      <c r="B32" t="s">
        <v>54</v>
      </c>
      <c r="C32" t="s">
        <v>41</v>
      </c>
      <c r="D32" t="s">
        <v>79</v>
      </c>
      <c r="E32" t="s">
        <v>75</v>
      </c>
      <c r="F32">
        <v>140</v>
      </c>
      <c r="G32" s="3">
        <f t="shared" si="0"/>
        <v>7.1428571428571432</v>
      </c>
      <c r="H32">
        <v>7.1</v>
      </c>
      <c r="I32">
        <v>140</v>
      </c>
      <c r="J32" s="3">
        <f t="shared" si="1"/>
        <v>7.1428571428571432</v>
      </c>
      <c r="K32">
        <v>7.1</v>
      </c>
      <c r="L32">
        <f t="shared" si="2"/>
        <v>163.1716887208072</v>
      </c>
      <c r="M32">
        <f t="shared" si="3"/>
        <v>163.1716887208072</v>
      </c>
    </row>
    <row r="33" spans="1:13" x14ac:dyDescent="0.5">
      <c r="A33" t="s">
        <v>82</v>
      </c>
      <c r="B33" t="s">
        <v>54</v>
      </c>
      <c r="C33" t="s">
        <v>41</v>
      </c>
      <c r="D33" t="s">
        <v>80</v>
      </c>
      <c r="E33" t="s">
        <v>76</v>
      </c>
      <c r="F33">
        <v>130</v>
      </c>
      <c r="G33" s="3">
        <f t="shared" si="0"/>
        <v>7.6923076923076925</v>
      </c>
      <c r="H33">
        <v>8.1999999999999993</v>
      </c>
      <c r="I33">
        <v>140</v>
      </c>
      <c r="J33" s="3">
        <f t="shared" si="1"/>
        <v>7.1428571428571432</v>
      </c>
      <c r="K33">
        <v>8.6999999999999993</v>
      </c>
      <c r="L33">
        <f t="shared" si="2"/>
        <v>175.3567791675018</v>
      </c>
      <c r="M33">
        <f t="shared" si="3"/>
        <v>180.62391868188439</v>
      </c>
    </row>
    <row r="34" spans="1:13" x14ac:dyDescent="0.5">
      <c r="A34" t="s">
        <v>82</v>
      </c>
      <c r="B34" t="s">
        <v>54</v>
      </c>
      <c r="C34" t="s">
        <v>41</v>
      </c>
      <c r="D34" t="s">
        <v>81</v>
      </c>
      <c r="E34" t="s">
        <v>77</v>
      </c>
      <c r="F34">
        <v>170</v>
      </c>
      <c r="G34" s="3">
        <f t="shared" si="0"/>
        <v>5.882352941176471</v>
      </c>
      <c r="H34">
        <v>11.6</v>
      </c>
      <c r="I34">
        <v>140</v>
      </c>
      <c r="J34" s="3">
        <f t="shared" si="1"/>
        <v>7.1428571428571432</v>
      </c>
      <c r="K34">
        <v>9.3000000000000007</v>
      </c>
      <c r="L34">
        <f t="shared" si="2"/>
        <v>208.56653614614208</v>
      </c>
      <c r="M34">
        <f t="shared" si="3"/>
        <v>186.74849396983097</v>
      </c>
    </row>
    <row r="36" spans="1:13" x14ac:dyDescent="0.5">
      <c r="A36" s="1" t="s">
        <v>83</v>
      </c>
      <c r="F36" s="1">
        <f t="shared" ref="F36:M36" si="4">AVERAGE(F2:F34)</f>
        <v>168.78787878787878</v>
      </c>
      <c r="G36" s="2">
        <f t="shared" si="4"/>
        <v>6.2104539409388932</v>
      </c>
      <c r="H36" s="1">
        <f t="shared" si="4"/>
        <v>6.7696969696969678</v>
      </c>
      <c r="I36" s="1">
        <f t="shared" si="4"/>
        <v>165.15151515151516</v>
      </c>
      <c r="J36" s="2">
        <f t="shared" si="4"/>
        <v>6.2542377434721912</v>
      </c>
      <c r="K36" s="1">
        <f t="shared" si="4"/>
        <v>6.372727272727273</v>
      </c>
      <c r="L36">
        <f t="shared" si="4"/>
        <v>155.40196123431679</v>
      </c>
      <c r="M36" s="1">
        <f t="shared" si="4"/>
        <v>151.44396651990016</v>
      </c>
    </row>
    <row r="37" spans="1:13" x14ac:dyDescent="0.5">
      <c r="A37" s="1" t="s">
        <v>90</v>
      </c>
      <c r="F37">
        <f t="shared" ref="F37:M37" si="5">STDEV(F2:F34)</f>
        <v>36.465529592820232</v>
      </c>
      <c r="G37" s="3">
        <f t="shared" si="5"/>
        <v>1.3867556838643498</v>
      </c>
      <c r="H37">
        <f t="shared" si="5"/>
        <v>2.7559577337657126</v>
      </c>
      <c r="I37">
        <f t="shared" si="5"/>
        <v>30.220151815594441</v>
      </c>
      <c r="J37" s="3">
        <f t="shared" si="5"/>
        <v>1.1472942079693016</v>
      </c>
      <c r="K37">
        <f t="shared" si="5"/>
        <v>2.3626352775122634</v>
      </c>
      <c r="L37">
        <f t="shared" si="5"/>
        <v>35.710469696146411</v>
      </c>
      <c r="M37">
        <f t="shared" si="5"/>
        <v>31.504426849521298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Kirill Polovnikov</dc:creator>
  <cp:lastModifiedBy>Kirill Polovnikov</cp:lastModifiedBy>
  <dcterms:created xsi:type="dcterms:W3CDTF">2025-11-03T14:31:43Z</dcterms:created>
  <dcterms:modified xsi:type="dcterms:W3CDTF">2025-11-21T11:41:00Z</dcterms:modified>
</cp:coreProperties>
</file>