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pol\Documents\capture_radius\"/>
    </mc:Choice>
  </mc:AlternateContent>
  <xr:revisionPtr revIDLastSave="0" documentId="13_ncr:1_{79E8382C-2EA7-484A-8039-A4B63D1106D0}" xr6:coauthVersionLast="47" xr6:coauthVersionMax="47" xr10:uidLastSave="{00000000-0000-0000-0000-000000000000}"/>
  <bookViews>
    <workbookView xWindow="13" yWindow="13" windowWidth="20787" windowHeight="13134" xr2:uid="{4481B7E0-0563-41D9-886F-284062E32AF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3" i="1" l="1"/>
  <c r="L43" i="1"/>
  <c r="K43" i="1"/>
  <c r="J43" i="1"/>
  <c r="I43" i="1"/>
  <c r="H43" i="1"/>
  <c r="G43" i="1"/>
  <c r="F43" i="1"/>
  <c r="M42" i="1"/>
  <c r="L42" i="1"/>
  <c r="K42" i="1"/>
  <c r="J42" i="1"/>
  <c r="I42" i="1"/>
  <c r="H42" i="1"/>
  <c r="G42" i="1"/>
  <c r="F4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7" i="1"/>
  <c r="M18" i="1"/>
  <c r="M19" i="1"/>
  <c r="M20" i="1"/>
  <c r="M21" i="1"/>
  <c r="M22" i="1"/>
  <c r="M23" i="1"/>
  <c r="M25" i="1"/>
  <c r="M27" i="1"/>
  <c r="M29" i="1"/>
  <c r="M30" i="1"/>
  <c r="M31" i="1"/>
  <c r="M32" i="1"/>
  <c r="M34" i="1"/>
  <c r="M35" i="1"/>
  <c r="M37" i="1"/>
  <c r="M38" i="1"/>
  <c r="M39" i="1"/>
  <c r="M40" i="1"/>
  <c r="M2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7" i="1"/>
  <c r="J18" i="1"/>
  <c r="J19" i="1"/>
  <c r="J20" i="1"/>
  <c r="J21" i="1"/>
  <c r="J22" i="1"/>
  <c r="J23" i="1"/>
  <c r="J25" i="1"/>
  <c r="J27" i="1"/>
  <c r="J29" i="1"/>
  <c r="J30" i="1"/>
  <c r="J31" i="1"/>
  <c r="J32" i="1"/>
  <c r="J34" i="1"/>
  <c r="J35" i="1"/>
  <c r="J37" i="1"/>
  <c r="J38" i="1"/>
  <c r="J39" i="1"/>
  <c r="J40" i="1"/>
  <c r="J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7" i="1"/>
  <c r="G18" i="1"/>
  <c r="G19" i="1"/>
  <c r="G20" i="1"/>
  <c r="G21" i="1"/>
  <c r="G22" i="1"/>
  <c r="G23" i="1"/>
  <c r="G25" i="1"/>
  <c r="G27" i="1"/>
  <c r="G29" i="1"/>
  <c r="G30" i="1"/>
  <c r="G31" i="1"/>
  <c r="G32" i="1"/>
  <c r="G34" i="1"/>
  <c r="G35" i="1"/>
  <c r="G37" i="1"/>
  <c r="G38" i="1"/>
  <c r="G39" i="1"/>
  <c r="G40" i="1"/>
  <c r="G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7" i="1"/>
  <c r="L18" i="1"/>
  <c r="L19" i="1"/>
  <c r="L20" i="1"/>
  <c r="L21" i="1"/>
  <c r="L22" i="1"/>
  <c r="L23" i="1"/>
  <c r="L25" i="1"/>
  <c r="L27" i="1"/>
  <c r="L29" i="1"/>
  <c r="L30" i="1"/>
  <c r="L31" i="1"/>
  <c r="L32" i="1"/>
  <c r="L34" i="1"/>
  <c r="L35" i="1"/>
  <c r="L37" i="1"/>
  <c r="L38" i="1"/>
  <c r="L39" i="1"/>
  <c r="L40" i="1"/>
</calcChain>
</file>

<file path=xl/sharedStrings.xml><?xml version="1.0" encoding="utf-8"?>
<sst xmlns="http://schemas.openxmlformats.org/spreadsheetml/2006/main" count="180" uniqueCount="93">
  <si>
    <t>Reference</t>
  </si>
  <si>
    <t>Cell type</t>
  </si>
  <si>
    <t>File name</t>
  </si>
  <si>
    <t xml:space="preserve">Organism </t>
  </si>
  <si>
    <t>Conditions</t>
  </si>
  <si>
    <t>full_logder_y_bonev_HiC_CN_1.mm10.mapq_30.1000.mcool.pickle</t>
  </si>
  <si>
    <t>cortical neurons</t>
  </si>
  <si>
    <t>mouse</t>
  </si>
  <si>
    <t>rep 1</t>
  </si>
  <si>
    <t>full_logder_y_bonev_HiC_CN_2.mm10.mapq_30.1000.mcool.pickle</t>
  </si>
  <si>
    <t>full_logder_y_bonev_HiC_CN_3.mm10.mapq_30.1000.mcool.pickle</t>
  </si>
  <si>
    <t>full_logder_y_bonev_HiC_CN_4.mm10.mapq_30.1000.mcool.pickle</t>
  </si>
  <si>
    <t>full_logder_y_bonev_HiC_CN_5.mm10.mapq_30.1000.mcool.pickle</t>
  </si>
  <si>
    <t>full_logder_y_bonev_HiC_CN_6.mm10.mapq_30.1000.mcool.pickle</t>
  </si>
  <si>
    <t>rep 2</t>
  </si>
  <si>
    <t>rep 3</t>
  </si>
  <si>
    <t>rep 4</t>
  </si>
  <si>
    <t>rep 5</t>
  </si>
  <si>
    <t>rep 6</t>
  </si>
  <si>
    <t>Bonev et al, Cell 2017</t>
  </si>
  <si>
    <t>full_logder_y_bonev_HiC_ES_1.mm10.mapq_30.1000.mcool.pickle</t>
  </si>
  <si>
    <t>full_logder_y_bonev_HiC_ES_4.mm10.mapq_30.1000.mcool.pickle</t>
  </si>
  <si>
    <t>full_logder_y_bonev_HiC_ES_3.mm10.mapq_30.1000.mcool.pickle</t>
  </si>
  <si>
    <t>full_logder_y_bonev_HiC_ES_2.mm10.mapq_30.1000.mcool.pickle</t>
  </si>
  <si>
    <t>embryonic stem</t>
  </si>
  <si>
    <t>full_logder_y_bonev_HiC_ncx_CN_1.mm10.mapq_30.1000.mcool.pickle</t>
  </si>
  <si>
    <t>full_logder_y_bonev_HiC_ncx_CN_2.mm10.mapq_30.1000.mcool.pickle</t>
  </si>
  <si>
    <t>full_logder_y_bonev_HiC_ncx_CN_3.mm10.mapq_30.1000.mcool.pickle</t>
  </si>
  <si>
    <t>full_logder_y_bonev_HiC_ncx_CN_4.mm10.mapq_30.1000.mcool.pickle</t>
  </si>
  <si>
    <t>in vivo Hi-C rep 1</t>
  </si>
  <si>
    <t>in vivo Hi-C rep 2</t>
  </si>
  <si>
    <t>in vivo Hi-C rep 3</t>
  </si>
  <si>
    <t>in vivo Hi-C rep 4</t>
  </si>
  <si>
    <t>full_logder_y_rao_GM12878_inSitu_DpnII.hg38.mapq_30.1000.mcool.pickle</t>
  </si>
  <si>
    <t>full_logder_y_rao_HMEC_inSitu_MboI.hg38.mapq_30.1000.mcool.pickle</t>
  </si>
  <si>
    <t>full_logder_y_rao_HUVEC_inSitu_MboI.hg38.mapq_30.1000.mcool.pickle</t>
  </si>
  <si>
    <t>full_logder_y_rao_IMR90_inSitu_MboI.hg38.mapq_30.1000.mcool.pickle</t>
  </si>
  <si>
    <t>full_logder_y_rao_K562_inSitu_MboI.hg38.mapq_30.1000.mcool.pickle</t>
  </si>
  <si>
    <t>full_logder_y_rao_KBM7_inSitu_MboI.hg38.mapq_30.1000.mcool.pickle</t>
  </si>
  <si>
    <t>full_logder_y_rao_NHEK_inSitu_MboI.hg38.mapq_30.1000.mcool.pickle</t>
  </si>
  <si>
    <t>in situ</t>
  </si>
  <si>
    <t>human</t>
  </si>
  <si>
    <t>GM12878</t>
  </si>
  <si>
    <t>HMEC</t>
  </si>
  <si>
    <t>HUVEC</t>
  </si>
  <si>
    <t>IMR90</t>
  </si>
  <si>
    <t>K562</t>
  </si>
  <si>
    <t>KBM7</t>
  </si>
  <si>
    <t>NHEK</t>
  </si>
  <si>
    <t>Rao et al, Cell 2014</t>
  </si>
  <si>
    <t>TAM control</t>
  </si>
  <si>
    <t>hepatocytes</t>
  </si>
  <si>
    <t>Schwarzer et al, Nature 2017</t>
  </si>
  <si>
    <t>control</t>
  </si>
  <si>
    <t>HeLa</t>
  </si>
  <si>
    <t>Wutz et al, EMBO 2017</t>
  </si>
  <si>
    <t>full_logder_y_schwarzer_TAM.mm10.mapq_30.1000.mcool.pickle</t>
  </si>
  <si>
    <t>full_logder_y_wutz_control.hg38.mapq_30.1000.mcool.pickle</t>
  </si>
  <si>
    <t>full_logder_y_oksuz_esc_U54-ESC4DN-DSG-DpnII-R1-R2_hg38.mapq_30.1000.mcool.pickle</t>
  </si>
  <si>
    <t>FA+DSG, DpnII, R1+R2</t>
  </si>
  <si>
    <t>ESC</t>
  </si>
  <si>
    <t>Oksuz et al, Nature Methods 2021</t>
  </si>
  <si>
    <t>full_logder_y_oksuz_esc_U54-ESC4DN-FA-DpnII-R1-R2_hg38.mapq_30.1000.mcool.pickle</t>
  </si>
  <si>
    <t>FA, DpnII, R1+R2</t>
  </si>
  <si>
    <t>full_logder_y_oksuz_hff_U54-HFFc6-DSG-DpnII-R1-R2_hg38.mapq_30.1000.mcool.pickle</t>
  </si>
  <si>
    <t>HFF</t>
  </si>
  <si>
    <t>FA, DpnII</t>
  </si>
  <si>
    <t>full_logder_y_zhang_mid_G1.pickle</t>
  </si>
  <si>
    <t>full_logder_y_oksuz_hff_hg38_deep.pickle</t>
  </si>
  <si>
    <t>mid G1</t>
  </si>
  <si>
    <t>erythroblasts</t>
  </si>
  <si>
    <t>Zhang et al, Nature 2019</t>
  </si>
  <si>
    <t>late G1</t>
  </si>
  <si>
    <t>full_logder_y_zhang_late_G1.pickle</t>
  </si>
  <si>
    <t>full_logder_y_abramo_4h.pickle</t>
  </si>
  <si>
    <t>full_logder_y_abramo_5h.pickle</t>
  </si>
  <si>
    <t>full_logder_y_abramo_6h.pickle</t>
  </si>
  <si>
    <t>full_logder_y_abramo_7h.pickle</t>
  </si>
  <si>
    <t>4h after prometa (mid G1)</t>
  </si>
  <si>
    <t>5h after prometa (mid G1)</t>
  </si>
  <si>
    <t>6h after prometa (late G1)</t>
  </si>
  <si>
    <t>7h after prometa (late G1)</t>
  </si>
  <si>
    <t>Abramo et al, Nat Cell Bio 2019</t>
  </si>
  <si>
    <t>Average</t>
  </si>
  <si>
    <t>Inferred T (from dip), kb</t>
  </si>
  <si>
    <t>Inferred T (curve), kb</t>
  </si>
  <si>
    <t>Inferred loop density (curve), per Mb</t>
  </si>
  <si>
    <t>Inferred v0 (dip), kb</t>
  </si>
  <si>
    <t>Inferred loop density (dip), per Mb</t>
  </si>
  <si>
    <t>Inferred v0 (curve), kb</t>
  </si>
  <si>
    <t>Std</t>
  </si>
  <si>
    <t>Inferred capture radius (curve), nm</t>
  </si>
  <si>
    <t>Inferred capture radius (dip), nm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</si>
</sst>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E284E-A531-4310-B12E-26938333D518}">
  <dimension ref="A1:M43"/>
  <sheetViews>
    <sheetView tabSelected="1" topLeftCell="A14" workbookViewId="0">
      <selection activeCell="O46" sqref="O46"/>
    </sheetView>
  </sheetViews>
  <sheetFormatPr defaultRowHeight="14.35" x14ac:dyDescent="0.5"/>
  <cols>
    <col min="1" max="1" width="31.8203125" customWidth="1"/>
    <col min="2" max="2" width="15.87890625" customWidth="1"/>
    <col min="3" max="3" width="14.234375" customWidth="1"/>
    <col min="4" max="4" width="22.1171875" customWidth="1"/>
    <col min="5" max="5" width="74.76171875" customWidth="1"/>
    <col min="6" max="6" width="31.234375" customWidth="1"/>
    <col min="7" max="7" width="43.05859375" style="3" customWidth="1"/>
    <col min="8" max="8" width="32.9375" customWidth="1"/>
    <col min="9" max="9" width="28.234375" customWidth="1"/>
    <col min="10" max="10" width="24.17578125" style="3" customWidth="1"/>
    <col min="11" max="11" width="23.5859375" customWidth="1"/>
    <col min="12" max="12" width="28.5859375" customWidth="1"/>
    <col min="13" max="13" width="33.64453125" customWidth="1"/>
  </cols>
  <sheetData>
    <row r="1" spans="1:13" x14ac:dyDescent="0.5">
      <c r="A1" s="1" t="s">
        <v>0</v>
      </c>
      <c r="B1" s="1" t="s">
        <v>1</v>
      </c>
      <c r="C1" s="1" t="s">
        <v>3</v>
      </c>
      <c r="D1" s="1" t="s">
        <v>4</v>
      </c>
      <c r="E1" s="1" t="s">
        <v>2</v>
      </c>
      <c r="F1" s="1" t="s">
        <v>84</v>
      </c>
      <c r="G1" s="2" t="s">
        <v>88</v>
      </c>
      <c r="H1" s="1" t="s">
        <v>87</v>
      </c>
      <c r="I1" s="1" t="s">
        <v>85</v>
      </c>
      <c r="J1" s="2" t="s">
        <v>86</v>
      </c>
      <c r="K1" s="1" t="s">
        <v>89</v>
      </c>
      <c r="L1" s="1" t="s">
        <v>92</v>
      </c>
      <c r="M1" s="1" t="s">
        <v>91</v>
      </c>
    </row>
    <row r="2" spans="1:13" x14ac:dyDescent="0.5">
      <c r="A2" t="s">
        <v>19</v>
      </c>
      <c r="B2" t="s">
        <v>6</v>
      </c>
      <c r="C2" t="s">
        <v>7</v>
      </c>
      <c r="D2" t="s">
        <v>8</v>
      </c>
      <c r="E2" t="s">
        <v>5</v>
      </c>
      <c r="F2">
        <v>200</v>
      </c>
      <c r="G2" s="3">
        <f>1000/F2</f>
        <v>5</v>
      </c>
      <c r="H2">
        <v>8.5</v>
      </c>
      <c r="I2">
        <v>190</v>
      </c>
      <c r="J2" s="3">
        <f>1000/I2</f>
        <v>5.2631578947368425</v>
      </c>
      <c r="K2">
        <v>8.1999999999999993</v>
      </c>
      <c r="L2">
        <f>SQRT(1.5)*20*SQRT(H2)</f>
        <v>71.414284285428508</v>
      </c>
      <c r="M2">
        <f>SQRT(1.5)*20*SQRT(K2)</f>
        <v>70.142711667000725</v>
      </c>
    </row>
    <row r="3" spans="1:13" x14ac:dyDescent="0.5">
      <c r="A3" t="s">
        <v>19</v>
      </c>
      <c r="B3" t="s">
        <v>6</v>
      </c>
      <c r="C3" t="s">
        <v>7</v>
      </c>
      <c r="D3" t="s">
        <v>14</v>
      </c>
      <c r="E3" t="s">
        <v>9</v>
      </c>
      <c r="F3">
        <v>200</v>
      </c>
      <c r="G3" s="3">
        <f t="shared" ref="G3:G42" si="0">1000/F3</f>
        <v>5</v>
      </c>
      <c r="H3">
        <v>9</v>
      </c>
      <c r="I3">
        <v>160</v>
      </c>
      <c r="J3" s="3">
        <f t="shared" ref="J3:J40" si="1">1000/I3</f>
        <v>6.25</v>
      </c>
      <c r="K3">
        <v>7.2</v>
      </c>
      <c r="L3">
        <f t="shared" ref="L3:L40" si="2">SQRT(1.5)*20*SQRT(H3)</f>
        <v>73.484692283495349</v>
      </c>
      <c r="M3">
        <f t="shared" ref="M3:M40" si="3">SQRT(1.5)*20*SQRT(K3)</f>
        <v>65.726706900619931</v>
      </c>
    </row>
    <row r="4" spans="1:13" x14ac:dyDescent="0.5">
      <c r="A4" t="s">
        <v>19</v>
      </c>
      <c r="B4" t="s">
        <v>6</v>
      </c>
      <c r="C4" t="s">
        <v>7</v>
      </c>
      <c r="D4" t="s">
        <v>15</v>
      </c>
      <c r="E4" t="s">
        <v>10</v>
      </c>
      <c r="F4">
        <v>200</v>
      </c>
      <c r="G4" s="3">
        <f t="shared" si="0"/>
        <v>5</v>
      </c>
      <c r="H4">
        <v>8.5</v>
      </c>
      <c r="I4">
        <v>180</v>
      </c>
      <c r="J4" s="3">
        <f t="shared" si="1"/>
        <v>5.5555555555555554</v>
      </c>
      <c r="K4">
        <v>7.6</v>
      </c>
      <c r="L4">
        <f t="shared" si="2"/>
        <v>71.414284285428508</v>
      </c>
      <c r="M4">
        <f t="shared" si="3"/>
        <v>67.527772064536521</v>
      </c>
    </row>
    <row r="5" spans="1:13" x14ac:dyDescent="0.5">
      <c r="A5" t="s">
        <v>19</v>
      </c>
      <c r="B5" t="s">
        <v>6</v>
      </c>
      <c r="C5" t="s">
        <v>7</v>
      </c>
      <c r="D5" t="s">
        <v>16</v>
      </c>
      <c r="E5" t="s">
        <v>11</v>
      </c>
      <c r="F5">
        <v>230</v>
      </c>
      <c r="G5" s="3">
        <f t="shared" si="0"/>
        <v>4.3478260869565215</v>
      </c>
      <c r="H5">
        <v>10.1</v>
      </c>
      <c r="I5">
        <v>200</v>
      </c>
      <c r="J5" s="3">
        <f t="shared" si="1"/>
        <v>5</v>
      </c>
      <c r="K5">
        <v>9</v>
      </c>
      <c r="L5">
        <f t="shared" si="2"/>
        <v>77.846001824114254</v>
      </c>
      <c r="M5">
        <f t="shared" si="3"/>
        <v>73.484692283495349</v>
      </c>
    </row>
    <row r="6" spans="1:13" x14ac:dyDescent="0.5">
      <c r="A6" t="s">
        <v>19</v>
      </c>
      <c r="B6" t="s">
        <v>6</v>
      </c>
      <c r="C6" t="s">
        <v>7</v>
      </c>
      <c r="D6" t="s">
        <v>17</v>
      </c>
      <c r="E6" t="s">
        <v>12</v>
      </c>
      <c r="F6">
        <v>210</v>
      </c>
      <c r="G6" s="3">
        <f t="shared" si="0"/>
        <v>4.7619047619047619</v>
      </c>
      <c r="H6">
        <v>7.7</v>
      </c>
      <c r="I6">
        <v>200</v>
      </c>
      <c r="J6" s="3">
        <f t="shared" si="1"/>
        <v>5</v>
      </c>
      <c r="K6">
        <v>7.3</v>
      </c>
      <c r="L6">
        <f t="shared" si="2"/>
        <v>67.970581871865718</v>
      </c>
      <c r="M6">
        <f t="shared" si="3"/>
        <v>66.18156843109719</v>
      </c>
    </row>
    <row r="7" spans="1:13" x14ac:dyDescent="0.5">
      <c r="A7" t="s">
        <v>19</v>
      </c>
      <c r="B7" t="s">
        <v>6</v>
      </c>
      <c r="C7" t="s">
        <v>7</v>
      </c>
      <c r="D7" t="s">
        <v>18</v>
      </c>
      <c r="E7" t="s">
        <v>13</v>
      </c>
      <c r="F7">
        <v>210</v>
      </c>
      <c r="G7" s="3">
        <f t="shared" si="0"/>
        <v>4.7619047619047619</v>
      </c>
      <c r="H7">
        <v>8.4</v>
      </c>
      <c r="I7">
        <v>210</v>
      </c>
      <c r="J7" s="3">
        <f t="shared" si="1"/>
        <v>4.7619047619047619</v>
      </c>
      <c r="K7">
        <v>8.6</v>
      </c>
      <c r="L7">
        <f t="shared" si="2"/>
        <v>70.992957397195397</v>
      </c>
      <c r="M7">
        <f t="shared" si="3"/>
        <v>71.833139984271881</v>
      </c>
    </row>
    <row r="8" spans="1:13" x14ac:dyDescent="0.5">
      <c r="A8" t="s">
        <v>19</v>
      </c>
      <c r="B8" t="s">
        <v>24</v>
      </c>
      <c r="C8" t="s">
        <v>7</v>
      </c>
      <c r="D8" t="s">
        <v>8</v>
      </c>
      <c r="E8" t="s">
        <v>20</v>
      </c>
      <c r="F8">
        <v>200</v>
      </c>
      <c r="G8" s="3">
        <f t="shared" si="0"/>
        <v>5</v>
      </c>
      <c r="H8">
        <v>5.9</v>
      </c>
      <c r="I8">
        <v>200</v>
      </c>
      <c r="J8" s="3">
        <f t="shared" si="1"/>
        <v>5</v>
      </c>
      <c r="K8">
        <v>5.7</v>
      </c>
      <c r="L8">
        <f t="shared" si="2"/>
        <v>59.497899122574061</v>
      </c>
      <c r="M8">
        <f t="shared" si="3"/>
        <v>58.480766068853782</v>
      </c>
    </row>
    <row r="9" spans="1:13" x14ac:dyDescent="0.5">
      <c r="A9" t="s">
        <v>19</v>
      </c>
      <c r="B9" t="s">
        <v>24</v>
      </c>
      <c r="C9" t="s">
        <v>7</v>
      </c>
      <c r="D9" t="s">
        <v>14</v>
      </c>
      <c r="E9" t="s">
        <v>23</v>
      </c>
      <c r="F9">
        <v>200</v>
      </c>
      <c r="G9" s="3">
        <f t="shared" si="0"/>
        <v>5</v>
      </c>
      <c r="H9">
        <v>5.8</v>
      </c>
      <c r="I9">
        <v>190</v>
      </c>
      <c r="J9" s="3">
        <f t="shared" si="1"/>
        <v>5.2631578947368425</v>
      </c>
      <c r="K9">
        <v>5.5</v>
      </c>
      <c r="L9">
        <f t="shared" si="2"/>
        <v>58.991524815010507</v>
      </c>
      <c r="M9">
        <f t="shared" si="3"/>
        <v>57.445626465380286</v>
      </c>
    </row>
    <row r="10" spans="1:13" x14ac:dyDescent="0.5">
      <c r="A10" t="s">
        <v>19</v>
      </c>
      <c r="B10" t="s">
        <v>24</v>
      </c>
      <c r="C10" t="s">
        <v>7</v>
      </c>
      <c r="D10" t="s">
        <v>15</v>
      </c>
      <c r="E10" t="s">
        <v>22</v>
      </c>
      <c r="F10">
        <v>180</v>
      </c>
      <c r="G10" s="3">
        <f t="shared" si="0"/>
        <v>5.5555555555555554</v>
      </c>
      <c r="H10">
        <v>5</v>
      </c>
      <c r="I10">
        <v>210</v>
      </c>
      <c r="J10" s="3">
        <f t="shared" si="1"/>
        <v>4.7619047619047619</v>
      </c>
      <c r="K10">
        <v>5.8</v>
      </c>
      <c r="L10">
        <f t="shared" si="2"/>
        <v>54.772255750516614</v>
      </c>
      <c r="M10">
        <f t="shared" si="3"/>
        <v>58.991524815010507</v>
      </c>
    </row>
    <row r="11" spans="1:13" x14ac:dyDescent="0.5">
      <c r="A11" t="s">
        <v>19</v>
      </c>
      <c r="B11" t="s">
        <v>24</v>
      </c>
      <c r="C11" t="s">
        <v>7</v>
      </c>
      <c r="D11" t="s">
        <v>16</v>
      </c>
      <c r="E11" t="s">
        <v>21</v>
      </c>
      <c r="F11">
        <v>170</v>
      </c>
      <c r="G11" s="3">
        <f t="shared" si="0"/>
        <v>5.882352941176471</v>
      </c>
      <c r="H11">
        <v>5.6</v>
      </c>
      <c r="I11">
        <v>190</v>
      </c>
      <c r="J11" s="3">
        <f t="shared" si="1"/>
        <v>5.2631578947368425</v>
      </c>
      <c r="K11">
        <v>6.1</v>
      </c>
      <c r="L11">
        <f t="shared" si="2"/>
        <v>57.965506984757752</v>
      </c>
      <c r="M11">
        <f t="shared" si="3"/>
        <v>60.49793384901669</v>
      </c>
    </row>
    <row r="12" spans="1:13" x14ac:dyDescent="0.5">
      <c r="A12" t="s">
        <v>19</v>
      </c>
      <c r="B12" t="s">
        <v>6</v>
      </c>
      <c r="C12" t="s">
        <v>7</v>
      </c>
      <c r="D12" t="s">
        <v>29</v>
      </c>
      <c r="E12" t="s">
        <v>25</v>
      </c>
      <c r="F12">
        <v>200</v>
      </c>
      <c r="G12" s="3">
        <f t="shared" si="0"/>
        <v>5</v>
      </c>
      <c r="H12">
        <v>8.4</v>
      </c>
      <c r="I12">
        <v>180</v>
      </c>
      <c r="J12" s="3">
        <f t="shared" si="1"/>
        <v>5.5555555555555554</v>
      </c>
      <c r="K12">
        <v>7.5</v>
      </c>
      <c r="L12">
        <f t="shared" si="2"/>
        <v>70.992957397195397</v>
      </c>
      <c r="M12">
        <f t="shared" si="3"/>
        <v>67.082039324993687</v>
      </c>
    </row>
    <row r="13" spans="1:13" x14ac:dyDescent="0.5">
      <c r="A13" t="s">
        <v>19</v>
      </c>
      <c r="B13" t="s">
        <v>6</v>
      </c>
      <c r="C13" t="s">
        <v>7</v>
      </c>
      <c r="D13" t="s">
        <v>30</v>
      </c>
      <c r="E13" t="s">
        <v>26</v>
      </c>
      <c r="F13">
        <v>180</v>
      </c>
      <c r="G13" s="3">
        <f t="shared" si="0"/>
        <v>5.5555555555555554</v>
      </c>
      <c r="H13">
        <v>8</v>
      </c>
      <c r="I13">
        <v>180</v>
      </c>
      <c r="J13" s="3">
        <f t="shared" si="1"/>
        <v>5.5555555555555554</v>
      </c>
      <c r="K13">
        <v>8</v>
      </c>
      <c r="L13">
        <f t="shared" si="2"/>
        <v>69.282032302755098</v>
      </c>
      <c r="M13">
        <f t="shared" si="3"/>
        <v>69.282032302755098</v>
      </c>
    </row>
    <row r="14" spans="1:13" x14ac:dyDescent="0.5">
      <c r="A14" t="s">
        <v>19</v>
      </c>
      <c r="B14" t="s">
        <v>6</v>
      </c>
      <c r="C14" t="s">
        <v>7</v>
      </c>
      <c r="D14" t="s">
        <v>31</v>
      </c>
      <c r="E14" t="s">
        <v>27</v>
      </c>
      <c r="F14">
        <v>200</v>
      </c>
      <c r="G14" s="3">
        <f t="shared" si="0"/>
        <v>5</v>
      </c>
      <c r="H14">
        <v>9</v>
      </c>
      <c r="I14">
        <v>180</v>
      </c>
      <c r="J14" s="3">
        <f t="shared" si="1"/>
        <v>5.5555555555555554</v>
      </c>
      <c r="K14">
        <v>8.1</v>
      </c>
      <c r="L14">
        <f t="shared" si="2"/>
        <v>73.484692283495349</v>
      </c>
      <c r="M14">
        <f t="shared" si="3"/>
        <v>69.713700231733512</v>
      </c>
    </row>
    <row r="15" spans="1:13" x14ac:dyDescent="0.5">
      <c r="A15" t="s">
        <v>19</v>
      </c>
      <c r="B15" t="s">
        <v>6</v>
      </c>
      <c r="C15" t="s">
        <v>7</v>
      </c>
      <c r="D15" t="s">
        <v>32</v>
      </c>
      <c r="E15" t="s">
        <v>28</v>
      </c>
      <c r="F15">
        <v>190</v>
      </c>
      <c r="G15" s="3">
        <f t="shared" si="0"/>
        <v>5.2631578947368425</v>
      </c>
      <c r="H15">
        <v>9.3000000000000007</v>
      </c>
      <c r="I15">
        <v>160</v>
      </c>
      <c r="J15" s="3">
        <f t="shared" si="1"/>
        <v>6.25</v>
      </c>
      <c r="K15">
        <v>7.9</v>
      </c>
      <c r="L15">
        <f t="shared" si="2"/>
        <v>74.699397587932395</v>
      </c>
      <c r="M15">
        <f t="shared" si="3"/>
        <v>68.847657912234027</v>
      </c>
    </row>
    <row r="17" spans="1:13" x14ac:dyDescent="0.5">
      <c r="A17" t="s">
        <v>49</v>
      </c>
      <c r="B17" t="s">
        <v>42</v>
      </c>
      <c r="C17" t="s">
        <v>41</v>
      </c>
      <c r="D17" t="s">
        <v>40</v>
      </c>
      <c r="E17" t="s">
        <v>33</v>
      </c>
      <c r="F17">
        <v>140</v>
      </c>
      <c r="G17" s="3">
        <f t="shared" si="0"/>
        <v>7.1428571428571432</v>
      </c>
      <c r="H17">
        <v>3.2</v>
      </c>
      <c r="I17">
        <v>150</v>
      </c>
      <c r="J17" s="3">
        <f t="shared" si="1"/>
        <v>6.666666666666667</v>
      </c>
      <c r="K17">
        <v>3.2</v>
      </c>
      <c r="L17">
        <f t="shared" si="2"/>
        <v>43.81780460041329</v>
      </c>
      <c r="M17">
        <f t="shared" si="3"/>
        <v>43.81780460041329</v>
      </c>
    </row>
    <row r="18" spans="1:13" x14ac:dyDescent="0.5">
      <c r="A18" t="s">
        <v>49</v>
      </c>
      <c r="B18" t="s">
        <v>43</v>
      </c>
      <c r="C18" t="s">
        <v>41</v>
      </c>
      <c r="D18" t="s">
        <v>40</v>
      </c>
      <c r="E18" t="s">
        <v>34</v>
      </c>
      <c r="F18">
        <v>140</v>
      </c>
      <c r="G18" s="3">
        <f t="shared" si="0"/>
        <v>7.1428571428571432</v>
      </c>
      <c r="H18">
        <v>3.5</v>
      </c>
      <c r="I18">
        <v>140</v>
      </c>
      <c r="J18" s="3">
        <f t="shared" si="1"/>
        <v>7.1428571428571432</v>
      </c>
      <c r="K18">
        <v>3.6</v>
      </c>
      <c r="L18">
        <f t="shared" si="2"/>
        <v>45.825756949558397</v>
      </c>
      <c r="M18">
        <f t="shared" si="3"/>
        <v>46.475800154489001</v>
      </c>
    </row>
    <row r="19" spans="1:13" x14ac:dyDescent="0.5">
      <c r="A19" t="s">
        <v>49</v>
      </c>
      <c r="B19" t="s">
        <v>44</v>
      </c>
      <c r="C19" t="s">
        <v>41</v>
      </c>
      <c r="D19" t="s">
        <v>40</v>
      </c>
      <c r="E19" t="s">
        <v>35</v>
      </c>
      <c r="F19">
        <v>120</v>
      </c>
      <c r="G19" s="3">
        <f t="shared" si="0"/>
        <v>8.3333333333333339</v>
      </c>
      <c r="H19">
        <v>7.7</v>
      </c>
      <c r="I19">
        <v>120</v>
      </c>
      <c r="J19" s="3">
        <f t="shared" si="1"/>
        <v>8.3333333333333339</v>
      </c>
      <c r="K19">
        <v>7.3</v>
      </c>
      <c r="L19">
        <f t="shared" si="2"/>
        <v>67.970581871865718</v>
      </c>
      <c r="M19">
        <f t="shared" si="3"/>
        <v>66.18156843109719</v>
      </c>
    </row>
    <row r="20" spans="1:13" x14ac:dyDescent="0.5">
      <c r="A20" t="s">
        <v>49</v>
      </c>
      <c r="B20" t="s">
        <v>45</v>
      </c>
      <c r="C20" t="s">
        <v>41</v>
      </c>
      <c r="D20" t="s">
        <v>40</v>
      </c>
      <c r="E20" t="s">
        <v>36</v>
      </c>
      <c r="F20">
        <v>140</v>
      </c>
      <c r="G20" s="3">
        <f t="shared" si="0"/>
        <v>7.1428571428571432</v>
      </c>
      <c r="H20">
        <v>5.0999999999999996</v>
      </c>
      <c r="I20">
        <v>130</v>
      </c>
      <c r="J20" s="3">
        <f t="shared" si="1"/>
        <v>7.6923076923076925</v>
      </c>
      <c r="K20">
        <v>4.4000000000000004</v>
      </c>
      <c r="L20">
        <f t="shared" si="2"/>
        <v>55.317266743757315</v>
      </c>
      <c r="M20">
        <f t="shared" si="3"/>
        <v>51.380930314660517</v>
      </c>
    </row>
    <row r="21" spans="1:13" x14ac:dyDescent="0.5">
      <c r="A21" t="s">
        <v>49</v>
      </c>
      <c r="B21" t="s">
        <v>46</v>
      </c>
      <c r="C21" t="s">
        <v>41</v>
      </c>
      <c r="D21" t="s">
        <v>40</v>
      </c>
      <c r="E21" t="s">
        <v>37</v>
      </c>
      <c r="F21">
        <v>120</v>
      </c>
      <c r="G21" s="3">
        <f t="shared" si="0"/>
        <v>8.3333333333333339</v>
      </c>
      <c r="H21">
        <v>5</v>
      </c>
      <c r="I21">
        <v>140</v>
      </c>
      <c r="J21" s="3">
        <f t="shared" si="1"/>
        <v>7.1428571428571432</v>
      </c>
      <c r="K21">
        <v>5.7</v>
      </c>
      <c r="L21">
        <f t="shared" si="2"/>
        <v>54.772255750516614</v>
      </c>
      <c r="M21">
        <f t="shared" si="3"/>
        <v>58.480766068853782</v>
      </c>
    </row>
    <row r="22" spans="1:13" x14ac:dyDescent="0.5">
      <c r="A22" t="s">
        <v>49</v>
      </c>
      <c r="B22" t="s">
        <v>47</v>
      </c>
      <c r="C22" t="s">
        <v>41</v>
      </c>
      <c r="D22" t="s">
        <v>40</v>
      </c>
      <c r="E22" t="s">
        <v>38</v>
      </c>
      <c r="F22">
        <v>170</v>
      </c>
      <c r="G22" s="3">
        <f t="shared" si="0"/>
        <v>5.882352941176471</v>
      </c>
      <c r="H22">
        <v>11.9</v>
      </c>
      <c r="I22">
        <v>160</v>
      </c>
      <c r="J22" s="3">
        <f t="shared" si="1"/>
        <v>6.25</v>
      </c>
      <c r="K22">
        <v>11.3</v>
      </c>
      <c r="L22">
        <f t="shared" si="2"/>
        <v>84.498520697110422</v>
      </c>
      <c r="M22">
        <f t="shared" si="3"/>
        <v>82.340755400955601</v>
      </c>
    </row>
    <row r="23" spans="1:13" x14ac:dyDescent="0.5">
      <c r="A23" t="s">
        <v>49</v>
      </c>
      <c r="B23" t="s">
        <v>48</v>
      </c>
      <c r="C23" t="s">
        <v>41</v>
      </c>
      <c r="D23" t="s">
        <v>40</v>
      </c>
      <c r="E23" t="s">
        <v>39</v>
      </c>
      <c r="F23">
        <v>210</v>
      </c>
      <c r="G23" s="3">
        <f t="shared" si="0"/>
        <v>4.7619047619047619</v>
      </c>
      <c r="H23">
        <v>7.3</v>
      </c>
      <c r="I23">
        <v>180</v>
      </c>
      <c r="J23" s="3">
        <f t="shared" si="1"/>
        <v>5.5555555555555554</v>
      </c>
      <c r="K23">
        <v>6.3</v>
      </c>
      <c r="L23">
        <f t="shared" si="2"/>
        <v>66.18156843109719</v>
      </c>
      <c r="M23">
        <f t="shared" si="3"/>
        <v>61.481704595757591</v>
      </c>
    </row>
    <row r="25" spans="1:13" x14ac:dyDescent="0.5">
      <c r="A25" t="s">
        <v>52</v>
      </c>
      <c r="B25" t="s">
        <v>51</v>
      </c>
      <c r="C25" t="s">
        <v>7</v>
      </c>
      <c r="D25" t="s">
        <v>50</v>
      </c>
      <c r="E25" t="s">
        <v>56</v>
      </c>
      <c r="F25">
        <v>240</v>
      </c>
      <c r="G25" s="3">
        <f t="shared" si="0"/>
        <v>4.166666666666667</v>
      </c>
      <c r="H25">
        <v>9.1999999999999993</v>
      </c>
      <c r="I25">
        <v>240</v>
      </c>
      <c r="J25" s="3">
        <f t="shared" si="1"/>
        <v>4.166666666666667</v>
      </c>
      <c r="K25">
        <v>6.8</v>
      </c>
      <c r="L25">
        <f t="shared" si="2"/>
        <v>74.296702484026838</v>
      </c>
      <c r="M25">
        <f t="shared" si="3"/>
        <v>63.874877690685246</v>
      </c>
    </row>
    <row r="27" spans="1:13" x14ac:dyDescent="0.5">
      <c r="A27" t="s">
        <v>55</v>
      </c>
      <c r="B27" t="s">
        <v>54</v>
      </c>
      <c r="C27" t="s">
        <v>41</v>
      </c>
      <c r="D27" t="s">
        <v>53</v>
      </c>
      <c r="E27" t="s">
        <v>57</v>
      </c>
      <c r="F27">
        <v>140</v>
      </c>
      <c r="G27" s="3">
        <f t="shared" si="0"/>
        <v>7.1428571428571432</v>
      </c>
      <c r="H27">
        <v>1.9</v>
      </c>
      <c r="I27">
        <v>130</v>
      </c>
      <c r="J27" s="3">
        <f t="shared" si="1"/>
        <v>7.6923076923076925</v>
      </c>
      <c r="K27">
        <v>1.9</v>
      </c>
      <c r="L27">
        <f t="shared" si="2"/>
        <v>33.76388603226826</v>
      </c>
      <c r="M27">
        <f t="shared" si="3"/>
        <v>33.76388603226826</v>
      </c>
    </row>
    <row r="29" spans="1:13" x14ac:dyDescent="0.5">
      <c r="A29" t="s">
        <v>61</v>
      </c>
      <c r="B29" t="s">
        <v>60</v>
      </c>
      <c r="C29" t="s">
        <v>41</v>
      </c>
      <c r="D29" t="s">
        <v>59</v>
      </c>
      <c r="E29" t="s">
        <v>58</v>
      </c>
      <c r="F29">
        <v>110</v>
      </c>
      <c r="G29" s="3">
        <f t="shared" si="0"/>
        <v>9.0909090909090917</v>
      </c>
      <c r="H29">
        <v>3</v>
      </c>
      <c r="I29">
        <v>110</v>
      </c>
      <c r="J29" s="3">
        <f t="shared" si="1"/>
        <v>9.0909090909090917</v>
      </c>
      <c r="K29">
        <v>3</v>
      </c>
      <c r="L29">
        <f t="shared" si="2"/>
        <v>42.426406871192846</v>
      </c>
      <c r="M29">
        <f t="shared" si="3"/>
        <v>42.426406871192846</v>
      </c>
    </row>
    <row r="30" spans="1:13" x14ac:dyDescent="0.5">
      <c r="A30" t="s">
        <v>61</v>
      </c>
      <c r="B30" t="s">
        <v>60</v>
      </c>
      <c r="C30" t="s">
        <v>41</v>
      </c>
      <c r="D30" t="s">
        <v>63</v>
      </c>
      <c r="E30" t="s">
        <v>62</v>
      </c>
      <c r="F30">
        <v>130</v>
      </c>
      <c r="G30" s="3">
        <f t="shared" si="0"/>
        <v>7.6923076923076925</v>
      </c>
      <c r="H30">
        <v>9.1</v>
      </c>
      <c r="I30">
        <v>130</v>
      </c>
      <c r="J30" s="3">
        <f t="shared" si="1"/>
        <v>7.6923076923076925</v>
      </c>
      <c r="K30">
        <v>9</v>
      </c>
      <c r="L30">
        <f t="shared" si="2"/>
        <v>73.891812807644669</v>
      </c>
      <c r="M30">
        <f t="shared" si="3"/>
        <v>73.484692283495349</v>
      </c>
    </row>
    <row r="31" spans="1:13" x14ac:dyDescent="0.5">
      <c r="A31" t="s">
        <v>61</v>
      </c>
      <c r="B31" t="s">
        <v>65</v>
      </c>
      <c r="C31" t="s">
        <v>41</v>
      </c>
      <c r="D31" t="s">
        <v>59</v>
      </c>
      <c r="E31" t="s">
        <v>64</v>
      </c>
      <c r="F31">
        <v>120</v>
      </c>
      <c r="G31" s="3">
        <f t="shared" si="0"/>
        <v>8.3333333333333339</v>
      </c>
      <c r="H31">
        <v>1.7</v>
      </c>
      <c r="I31">
        <v>150</v>
      </c>
      <c r="J31" s="3">
        <f t="shared" si="1"/>
        <v>6.666666666666667</v>
      </c>
      <c r="K31">
        <v>2</v>
      </c>
      <c r="L31">
        <f t="shared" si="2"/>
        <v>31.937438845342623</v>
      </c>
      <c r="M31">
        <f t="shared" si="3"/>
        <v>34.641016151377549</v>
      </c>
    </row>
    <row r="32" spans="1:13" x14ac:dyDescent="0.5">
      <c r="A32" t="s">
        <v>61</v>
      </c>
      <c r="B32" t="s">
        <v>65</v>
      </c>
      <c r="C32" t="s">
        <v>41</v>
      </c>
      <c r="D32" t="s">
        <v>66</v>
      </c>
      <c r="E32" t="s">
        <v>68</v>
      </c>
      <c r="F32">
        <v>170</v>
      </c>
      <c r="G32" s="3">
        <f t="shared" si="0"/>
        <v>5.882352941176471</v>
      </c>
      <c r="H32">
        <v>7.2</v>
      </c>
      <c r="I32">
        <v>160</v>
      </c>
      <c r="J32" s="3">
        <f t="shared" si="1"/>
        <v>6.25</v>
      </c>
      <c r="K32">
        <v>6.6</v>
      </c>
      <c r="L32">
        <f t="shared" si="2"/>
        <v>65.726706900619931</v>
      </c>
      <c r="M32">
        <f t="shared" si="3"/>
        <v>62.928530890209089</v>
      </c>
    </row>
    <row r="34" spans="1:13" x14ac:dyDescent="0.5">
      <c r="A34" t="s">
        <v>71</v>
      </c>
      <c r="B34" t="s">
        <v>70</v>
      </c>
      <c r="C34" t="s">
        <v>7</v>
      </c>
      <c r="D34" t="s">
        <v>69</v>
      </c>
      <c r="E34" t="s">
        <v>67</v>
      </c>
      <c r="F34">
        <v>140</v>
      </c>
      <c r="G34" s="3">
        <f t="shared" si="0"/>
        <v>7.1428571428571432</v>
      </c>
      <c r="H34">
        <v>2.2000000000000002</v>
      </c>
      <c r="I34">
        <v>160</v>
      </c>
      <c r="J34" s="3">
        <f t="shared" si="1"/>
        <v>6.25</v>
      </c>
      <c r="K34">
        <v>2.2999999999999998</v>
      </c>
      <c r="L34">
        <f t="shared" si="2"/>
        <v>36.331804249169899</v>
      </c>
      <c r="M34">
        <f t="shared" si="3"/>
        <v>37.148351242013419</v>
      </c>
    </row>
    <row r="35" spans="1:13" x14ac:dyDescent="0.5">
      <c r="A35" t="s">
        <v>71</v>
      </c>
      <c r="B35" t="s">
        <v>70</v>
      </c>
      <c r="C35" t="s">
        <v>7</v>
      </c>
      <c r="D35" t="s">
        <v>72</v>
      </c>
      <c r="E35" t="s">
        <v>73</v>
      </c>
      <c r="F35">
        <v>130</v>
      </c>
      <c r="G35" s="3">
        <f t="shared" si="0"/>
        <v>7.6923076923076925</v>
      </c>
      <c r="H35">
        <v>2.6</v>
      </c>
      <c r="I35">
        <v>150</v>
      </c>
      <c r="J35" s="3">
        <f t="shared" si="1"/>
        <v>6.666666666666667</v>
      </c>
      <c r="K35">
        <v>2.7</v>
      </c>
      <c r="L35">
        <f t="shared" si="2"/>
        <v>39.496835316263002</v>
      </c>
      <c r="M35">
        <f t="shared" si="3"/>
        <v>40.249223594996216</v>
      </c>
    </row>
    <row r="37" spans="1:13" x14ac:dyDescent="0.5">
      <c r="A37" t="s">
        <v>82</v>
      </c>
      <c r="B37" t="s">
        <v>54</v>
      </c>
      <c r="C37" t="s">
        <v>41</v>
      </c>
      <c r="D37" t="s">
        <v>78</v>
      </c>
      <c r="E37" t="s">
        <v>74</v>
      </c>
      <c r="F37">
        <v>150</v>
      </c>
      <c r="G37" s="3">
        <f t="shared" si="0"/>
        <v>6.666666666666667</v>
      </c>
      <c r="H37">
        <v>6.7</v>
      </c>
      <c r="I37">
        <v>150</v>
      </c>
      <c r="J37" s="3">
        <f t="shared" si="1"/>
        <v>6.666666666666667</v>
      </c>
      <c r="K37">
        <v>6.6</v>
      </c>
      <c r="L37">
        <f t="shared" si="2"/>
        <v>63.403469936589431</v>
      </c>
      <c r="M37">
        <f t="shared" si="3"/>
        <v>62.928530890209089</v>
      </c>
    </row>
    <row r="38" spans="1:13" x14ac:dyDescent="0.5">
      <c r="A38" t="s">
        <v>82</v>
      </c>
      <c r="B38" t="s">
        <v>54</v>
      </c>
      <c r="C38" t="s">
        <v>41</v>
      </c>
      <c r="D38" t="s">
        <v>79</v>
      </c>
      <c r="E38" t="s">
        <v>75</v>
      </c>
      <c r="F38">
        <v>140</v>
      </c>
      <c r="G38" s="3">
        <f t="shared" si="0"/>
        <v>7.1428571428571432</v>
      </c>
      <c r="H38">
        <v>7.1</v>
      </c>
      <c r="I38">
        <v>140</v>
      </c>
      <c r="J38" s="3">
        <f t="shared" si="1"/>
        <v>7.1428571428571432</v>
      </c>
      <c r="K38">
        <v>7.1</v>
      </c>
      <c r="L38">
        <f t="shared" si="2"/>
        <v>65.268675488322884</v>
      </c>
      <c r="M38">
        <f t="shared" si="3"/>
        <v>65.268675488322884</v>
      </c>
    </row>
    <row r="39" spans="1:13" x14ac:dyDescent="0.5">
      <c r="A39" t="s">
        <v>82</v>
      </c>
      <c r="B39" t="s">
        <v>54</v>
      </c>
      <c r="C39" t="s">
        <v>41</v>
      </c>
      <c r="D39" t="s">
        <v>80</v>
      </c>
      <c r="E39" t="s">
        <v>76</v>
      </c>
      <c r="F39">
        <v>130</v>
      </c>
      <c r="G39" s="3">
        <f t="shared" si="0"/>
        <v>7.6923076923076925</v>
      </c>
      <c r="H39">
        <v>8.1999999999999993</v>
      </c>
      <c r="I39">
        <v>140</v>
      </c>
      <c r="J39" s="3">
        <f t="shared" si="1"/>
        <v>7.1428571428571432</v>
      </c>
      <c r="K39">
        <v>8.6999999999999993</v>
      </c>
      <c r="L39">
        <f t="shared" si="2"/>
        <v>70.142711667000725</v>
      </c>
      <c r="M39">
        <f t="shared" si="3"/>
        <v>72.249567472753768</v>
      </c>
    </row>
    <row r="40" spans="1:13" x14ac:dyDescent="0.5">
      <c r="A40" t="s">
        <v>82</v>
      </c>
      <c r="B40" t="s">
        <v>54</v>
      </c>
      <c r="C40" t="s">
        <v>41</v>
      </c>
      <c r="D40" t="s">
        <v>81</v>
      </c>
      <c r="E40" t="s">
        <v>77</v>
      </c>
      <c r="F40">
        <v>170</v>
      </c>
      <c r="G40" s="3">
        <f t="shared" si="0"/>
        <v>5.882352941176471</v>
      </c>
      <c r="H40">
        <v>11.6</v>
      </c>
      <c r="I40">
        <v>140</v>
      </c>
      <c r="J40" s="3">
        <f t="shared" si="1"/>
        <v>7.1428571428571432</v>
      </c>
      <c r="K40">
        <v>9.3000000000000007</v>
      </c>
      <c r="L40">
        <f t="shared" si="2"/>
        <v>83.426614458456839</v>
      </c>
      <c r="M40">
        <f t="shared" si="3"/>
        <v>74.699397587932395</v>
      </c>
    </row>
    <row r="42" spans="1:13" x14ac:dyDescent="0.5">
      <c r="A42" s="1" t="s">
        <v>83</v>
      </c>
      <c r="F42" s="1">
        <f>AVERAGE(F2:F40)</f>
        <v>169.09090909090909</v>
      </c>
      <c r="G42" s="2">
        <f>AVERAGE(G2:G40)</f>
        <v>6.1938039242888765</v>
      </c>
      <c r="H42" s="1">
        <f>AVERAGE(H2:H40)</f>
        <v>6.7696969696969678</v>
      </c>
      <c r="I42" s="1">
        <f>AVERAGE(I2:I40)</f>
        <v>165.15151515151516</v>
      </c>
      <c r="J42" s="2">
        <f>AVERAGE(J2:J40)</f>
        <v>6.2542377434721912</v>
      </c>
      <c r="K42" s="1">
        <f>AVERAGE(K2:K40)</f>
        <v>6.372727272727273</v>
      </c>
      <c r="L42" s="1">
        <f>AVERAGE(L2:L40)</f>
        <v>62.160784493726723</v>
      </c>
      <c r="M42" s="1">
        <f>AVERAGE(M2:M40)</f>
        <v>60.577586607960072</v>
      </c>
    </row>
    <row r="43" spans="1:13" x14ac:dyDescent="0.5">
      <c r="A43" s="1" t="s">
        <v>90</v>
      </c>
      <c r="F43">
        <f>STDEV(F2:F40)</f>
        <v>36.17350863923388</v>
      </c>
      <c r="G43" s="3">
        <f>STDEV(G2:G40)</f>
        <v>1.3716238014333066</v>
      </c>
      <c r="H43">
        <f>STDEV(H2:H40)</f>
        <v>2.7559577337657126</v>
      </c>
      <c r="I43">
        <f>STDEV(I2:I40)</f>
        <v>30.220151815594441</v>
      </c>
      <c r="J43" s="3">
        <f>STDEV(J2:J40)</f>
        <v>1.1472942079693016</v>
      </c>
      <c r="K43">
        <f>STDEV(K2:K40)</f>
        <v>2.3626352775122634</v>
      </c>
      <c r="L43">
        <f>STDEV(L2:L40)</f>
        <v>14.284187878458573</v>
      </c>
      <c r="M43">
        <f>STDEV(M2:M40)</f>
        <v>12.601770739808499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Kirill Polovnikov</dc:creator>
  <cp:lastModifiedBy>Kirill Polovnikov</cp:lastModifiedBy>
  <dcterms:created xsi:type="dcterms:W3CDTF">2025-11-03T14:31:43Z</dcterms:created>
  <dcterms:modified xsi:type="dcterms:W3CDTF">2025-11-11T15:22:04Z</dcterms:modified>
</cp:coreProperties>
</file>