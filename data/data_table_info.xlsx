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ol\Documents\capture_radius\"/>
    </mc:Choice>
  </mc:AlternateContent>
  <xr:revisionPtr revIDLastSave="0" documentId="13_ncr:1_{60D2A381-A083-4928-BE4B-85E653A499A4}" xr6:coauthVersionLast="47" xr6:coauthVersionMax="47" xr10:uidLastSave="{00000000-0000-0000-0000-000000000000}"/>
  <bookViews>
    <workbookView xWindow="-93" yWindow="-93" windowWidth="20986" windowHeight="13333" xr2:uid="{4481B7E0-0563-41D9-886F-284062E32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</calcChain>
</file>

<file path=xl/sharedStrings.xml><?xml version="1.0" encoding="utf-8"?>
<sst xmlns="http://schemas.openxmlformats.org/spreadsheetml/2006/main" count="175" uniqueCount="88">
  <si>
    <t>Reference</t>
  </si>
  <si>
    <t>Cell type</t>
  </si>
  <si>
    <t>File name</t>
  </si>
  <si>
    <t xml:space="preserve">Organism </t>
  </si>
  <si>
    <t>Conditions</t>
  </si>
  <si>
    <t>Inferred loop density (1/T), per Mb</t>
  </si>
  <si>
    <t>Inferred T, kb</t>
  </si>
  <si>
    <t>Inferred capture radius, nm</t>
  </si>
  <si>
    <t>full_logder_y_bonev_HiC_CN_1.mm10.mapq_30.1000.mcool.pickle</t>
  </si>
  <si>
    <t>cortical neurons</t>
  </si>
  <si>
    <t>mouse</t>
  </si>
  <si>
    <t>rep 1</t>
  </si>
  <si>
    <t>full_logder_y_bonev_HiC_CN_2.mm10.mapq_30.1000.mcool.pickle</t>
  </si>
  <si>
    <t>full_logder_y_bonev_HiC_CN_3.mm10.mapq_30.1000.mcool.pickle</t>
  </si>
  <si>
    <t>full_logder_y_bonev_HiC_CN_4.mm10.mapq_30.1000.mcool.pickle</t>
  </si>
  <si>
    <t>full_logder_y_bonev_HiC_CN_5.mm10.mapq_30.1000.mcool.pickle</t>
  </si>
  <si>
    <t>full_logder_y_bonev_HiC_CN_6.mm10.mapq_30.1000.mcool.pickle</t>
  </si>
  <si>
    <t>rep 2</t>
  </si>
  <si>
    <t>rep 3</t>
  </si>
  <si>
    <t>rep 4</t>
  </si>
  <si>
    <t>rep 5</t>
  </si>
  <si>
    <t>rep 6</t>
  </si>
  <si>
    <t>Bonev et al, Cell 2017</t>
  </si>
  <si>
    <t>full_logder_y_bonev_HiC_ES_1.mm10.mapq_30.1000.mcool.pickle</t>
  </si>
  <si>
    <t>full_logder_y_bonev_HiC_ES_4.mm10.mapq_30.1000.mcool.pickle</t>
  </si>
  <si>
    <t>full_logder_y_bonev_HiC_ES_3.mm10.mapq_30.1000.mcool.pickle</t>
  </si>
  <si>
    <t>full_logder_y_bonev_HiC_ES_2.mm10.mapq_30.1000.mcool.pickle</t>
  </si>
  <si>
    <t>embryonic stem</t>
  </si>
  <si>
    <t>full_logder_y_bonev_HiC_ncx_CN_1.mm10.mapq_30.1000.mcool.pickle</t>
  </si>
  <si>
    <t>full_logder_y_bonev_HiC_ncx_CN_2.mm10.mapq_30.1000.mcool.pickle</t>
  </si>
  <si>
    <t>full_logder_y_bonev_HiC_ncx_CN_3.mm10.mapq_30.1000.mcool.pickle</t>
  </si>
  <si>
    <t>full_logder_y_bonev_HiC_ncx_CN_4.mm10.mapq_30.1000.mcool.pickle</t>
  </si>
  <si>
    <t>in vivo Hi-C rep 1</t>
  </si>
  <si>
    <t>in vivo Hi-C rep 2</t>
  </si>
  <si>
    <t>in vivo Hi-C rep 3</t>
  </si>
  <si>
    <t>in vivo Hi-C rep 4</t>
  </si>
  <si>
    <t>full_logder_y_rao_GM12878_inSitu_DpnII.hg38.mapq_30.1000.mcool.pickle</t>
  </si>
  <si>
    <t>full_logder_y_rao_HMEC_inSitu_MboI.hg38.mapq_30.1000.mcool.pickle</t>
  </si>
  <si>
    <t>full_logder_y_rao_HUVEC_inSitu_MboI.hg38.mapq_30.1000.mcool.pickle</t>
  </si>
  <si>
    <t>full_logder_y_rao_IMR90_inSitu_MboI.hg38.mapq_30.1000.mcool.pickle</t>
  </si>
  <si>
    <t>full_logder_y_rao_K562_inSitu_MboI.hg38.mapq_30.1000.mcool.pickle</t>
  </si>
  <si>
    <t>full_logder_y_rao_KBM7_inSitu_MboI.hg38.mapq_30.1000.mcool.pickle</t>
  </si>
  <si>
    <t>full_logder_y_rao_NHEK_inSitu_MboI.hg38.mapq_30.1000.mcool.pickle</t>
  </si>
  <si>
    <t>in situ</t>
  </si>
  <si>
    <t>human</t>
  </si>
  <si>
    <t>GM12878</t>
  </si>
  <si>
    <t>HMEC</t>
  </si>
  <si>
    <t>HUVEC</t>
  </si>
  <si>
    <t>IMR90</t>
  </si>
  <si>
    <t>K562</t>
  </si>
  <si>
    <t>KBM7</t>
  </si>
  <si>
    <t>NHEK</t>
  </si>
  <si>
    <t>Rao et al, Cell 2014</t>
  </si>
  <si>
    <t>TAM control</t>
  </si>
  <si>
    <t>hepatocytes</t>
  </si>
  <si>
    <t>Schwarzer et al, Nature 2017</t>
  </si>
  <si>
    <t>control</t>
  </si>
  <si>
    <t>HeLa</t>
  </si>
  <si>
    <t>Wutz et al, EMBO 2017</t>
  </si>
  <si>
    <t>full_logder_y_schwarzer_TAM.mm10.mapq_30.1000.mcool.pickle</t>
  </si>
  <si>
    <t>full_logder_y_wutz_control.hg38.mapq_30.1000.mcool.pickle</t>
  </si>
  <si>
    <t>full_logder_y_oksuz_esc_U54-ESC4DN-DSG-DpnII-R1-R2_hg38.mapq_30.1000.mcool.pickle</t>
  </si>
  <si>
    <t>FA+DSG, DpnII, R1+R2</t>
  </si>
  <si>
    <t>ESC</t>
  </si>
  <si>
    <t>Oksuz et al, Nature Methods 2021</t>
  </si>
  <si>
    <t>full_logder_y_oksuz_esc_U54-ESC4DN-FA-DpnII-R1-R2_hg38.mapq_30.1000.mcool.pickle</t>
  </si>
  <si>
    <t>FA, DpnII, R1+R2</t>
  </si>
  <si>
    <t>full_logder_y_oksuz_hff_U54-HFFc6-DSG-DpnII-R1-R2_hg38.mapq_30.1000.mcool.pickle</t>
  </si>
  <si>
    <t>HFF</t>
  </si>
  <si>
    <t>FA, DpnII</t>
  </si>
  <si>
    <t>full_logder_y_zhang_mid_G1.pickle</t>
  </si>
  <si>
    <t>full_logder_y_oksuz_hff_hg38_deep.pickle</t>
  </si>
  <si>
    <t>mid G1</t>
  </si>
  <si>
    <t>erythroblasts</t>
  </si>
  <si>
    <t>Zhang et al, Nature 2019</t>
  </si>
  <si>
    <t>late G1</t>
  </si>
  <si>
    <t>full_logder_y_zhang_late_G1.pickle</t>
  </si>
  <si>
    <t>full_logder_y_abramo_4h.pickle</t>
  </si>
  <si>
    <t>full_logder_y_abramo_5h.pickle</t>
  </si>
  <si>
    <t>full_logder_y_abramo_6h.pickle</t>
  </si>
  <si>
    <t>full_logder_y_abramo_7h.pickle</t>
  </si>
  <si>
    <t>4h after prometa (mid G1)</t>
  </si>
  <si>
    <t>5h after prometa (mid G1)</t>
  </si>
  <si>
    <t>6h after prometa (late G1)</t>
  </si>
  <si>
    <t>7h after prometa (late G1)</t>
  </si>
  <si>
    <t>Abramo et al, Nat Cell Bio 2019</t>
  </si>
  <si>
    <t>Average</t>
  </si>
  <si>
    <t>Inferred v0,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</si>
</sst>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284E-A531-4310-B12E-26938333D518}">
  <dimension ref="A1:I36"/>
  <sheetViews>
    <sheetView tabSelected="1" topLeftCell="D1" workbookViewId="0">
      <selection activeCell="E2" sqref="E2"/>
    </sheetView>
  </sheetViews>
  <sheetFormatPr defaultRowHeight="14.35" x14ac:dyDescent="0.5"/>
  <cols>
    <col min="1" max="1" width="31.8203125" customWidth="1"/>
    <col min="2" max="2" width="15.87890625" customWidth="1"/>
    <col min="3" max="3" width="14.234375" customWidth="1"/>
    <col min="4" max="4" width="22.1171875" customWidth="1"/>
    <col min="5" max="5" width="74.76171875" customWidth="1"/>
    <col min="6" max="6" width="19.703125" customWidth="1"/>
    <col min="7" max="7" width="43.05859375" customWidth="1"/>
    <col min="8" max="8" width="20.05859375" customWidth="1"/>
    <col min="9" max="9" width="24.41015625" customWidth="1"/>
  </cols>
  <sheetData>
    <row r="1" spans="1:9" x14ac:dyDescent="0.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87</v>
      </c>
      <c r="I1" s="1" t="s">
        <v>7</v>
      </c>
    </row>
    <row r="2" spans="1:9" x14ac:dyDescent="0.5">
      <c r="A2" t="s">
        <v>22</v>
      </c>
      <c r="B2" t="s">
        <v>9</v>
      </c>
      <c r="C2" t="s">
        <v>10</v>
      </c>
      <c r="D2" t="s">
        <v>11</v>
      </c>
      <c r="E2" t="s">
        <v>8</v>
      </c>
      <c r="F2">
        <v>200</v>
      </c>
      <c r="G2">
        <v>5</v>
      </c>
      <c r="H2">
        <v>8.5</v>
      </c>
      <c r="I2">
        <f>SQRT(1.5)*20*SQRT(H2)</f>
        <v>71.414284285428508</v>
      </c>
    </row>
    <row r="3" spans="1:9" x14ac:dyDescent="0.5">
      <c r="A3" t="s">
        <v>22</v>
      </c>
      <c r="B3" t="s">
        <v>9</v>
      </c>
      <c r="C3" t="s">
        <v>10</v>
      </c>
      <c r="D3" t="s">
        <v>17</v>
      </c>
      <c r="E3" t="s">
        <v>12</v>
      </c>
      <c r="F3">
        <v>200</v>
      </c>
      <c r="G3">
        <v>5</v>
      </c>
      <c r="H3">
        <v>9</v>
      </c>
      <c r="I3">
        <f t="shared" ref="I3:I34" si="0">SQRT(1.5)*20*SQRT(H3)</f>
        <v>73.484692283495349</v>
      </c>
    </row>
    <row r="4" spans="1:9" x14ac:dyDescent="0.5">
      <c r="A4" t="s">
        <v>22</v>
      </c>
      <c r="B4" t="s">
        <v>9</v>
      </c>
      <c r="C4" t="s">
        <v>10</v>
      </c>
      <c r="D4" t="s">
        <v>18</v>
      </c>
      <c r="E4" t="s">
        <v>13</v>
      </c>
      <c r="F4">
        <v>200</v>
      </c>
      <c r="G4">
        <v>5</v>
      </c>
      <c r="H4">
        <v>8.5</v>
      </c>
      <c r="I4">
        <f t="shared" si="0"/>
        <v>71.414284285428508</v>
      </c>
    </row>
    <row r="5" spans="1:9" x14ac:dyDescent="0.5">
      <c r="A5" t="s">
        <v>22</v>
      </c>
      <c r="B5" t="s">
        <v>9</v>
      </c>
      <c r="C5" t="s">
        <v>10</v>
      </c>
      <c r="D5" t="s">
        <v>19</v>
      </c>
      <c r="E5" t="s">
        <v>14</v>
      </c>
      <c r="F5">
        <v>230</v>
      </c>
      <c r="G5">
        <v>4.3499999999999996</v>
      </c>
      <c r="H5">
        <v>10</v>
      </c>
      <c r="I5">
        <f t="shared" si="0"/>
        <v>77.459666924148337</v>
      </c>
    </row>
    <row r="6" spans="1:9" x14ac:dyDescent="0.5">
      <c r="A6" t="s">
        <v>22</v>
      </c>
      <c r="B6" t="s">
        <v>9</v>
      </c>
      <c r="C6" t="s">
        <v>10</v>
      </c>
      <c r="D6" t="s">
        <v>20</v>
      </c>
      <c r="E6" t="s">
        <v>15</v>
      </c>
      <c r="F6">
        <v>210</v>
      </c>
      <c r="G6">
        <v>4.76</v>
      </c>
      <c r="H6">
        <v>7.5</v>
      </c>
      <c r="I6">
        <f t="shared" si="0"/>
        <v>67.082039324993687</v>
      </c>
    </row>
    <row r="7" spans="1:9" x14ac:dyDescent="0.5">
      <c r="A7" t="s">
        <v>22</v>
      </c>
      <c r="B7" t="s">
        <v>9</v>
      </c>
      <c r="C7" t="s">
        <v>10</v>
      </c>
      <c r="D7" t="s">
        <v>21</v>
      </c>
      <c r="E7" t="s">
        <v>16</v>
      </c>
      <c r="F7">
        <v>210</v>
      </c>
      <c r="G7">
        <v>4.76</v>
      </c>
      <c r="H7">
        <v>8.5</v>
      </c>
      <c r="I7">
        <f t="shared" si="0"/>
        <v>71.414284285428508</v>
      </c>
    </row>
    <row r="8" spans="1:9" x14ac:dyDescent="0.5">
      <c r="A8" t="s">
        <v>22</v>
      </c>
      <c r="B8" t="s">
        <v>27</v>
      </c>
      <c r="C8" t="s">
        <v>10</v>
      </c>
      <c r="D8" t="s">
        <v>11</v>
      </c>
      <c r="E8" t="s">
        <v>23</v>
      </c>
      <c r="F8">
        <v>200</v>
      </c>
      <c r="G8">
        <v>5</v>
      </c>
      <c r="H8">
        <v>6</v>
      </c>
      <c r="I8">
        <f t="shared" si="0"/>
        <v>59.999999999999993</v>
      </c>
    </row>
    <row r="9" spans="1:9" x14ac:dyDescent="0.5">
      <c r="A9" t="s">
        <v>22</v>
      </c>
      <c r="B9" t="s">
        <v>27</v>
      </c>
      <c r="C9" t="s">
        <v>10</v>
      </c>
      <c r="D9" t="s">
        <v>17</v>
      </c>
      <c r="E9" t="s">
        <v>26</v>
      </c>
      <c r="F9">
        <v>210</v>
      </c>
      <c r="G9">
        <v>4.76</v>
      </c>
      <c r="H9">
        <v>6</v>
      </c>
      <c r="I9">
        <f t="shared" si="0"/>
        <v>59.999999999999993</v>
      </c>
    </row>
    <row r="10" spans="1:9" x14ac:dyDescent="0.5">
      <c r="A10" t="s">
        <v>22</v>
      </c>
      <c r="B10" t="s">
        <v>27</v>
      </c>
      <c r="C10" t="s">
        <v>10</v>
      </c>
      <c r="D10" t="s">
        <v>18</v>
      </c>
      <c r="E10" t="s">
        <v>25</v>
      </c>
      <c r="F10">
        <v>180</v>
      </c>
      <c r="G10">
        <v>5.56</v>
      </c>
      <c r="H10">
        <v>5</v>
      </c>
      <c r="I10">
        <f t="shared" si="0"/>
        <v>54.772255750516614</v>
      </c>
    </row>
    <row r="11" spans="1:9" x14ac:dyDescent="0.5">
      <c r="A11" t="s">
        <v>22</v>
      </c>
      <c r="B11" t="s">
        <v>27</v>
      </c>
      <c r="C11" t="s">
        <v>10</v>
      </c>
      <c r="D11" t="s">
        <v>19</v>
      </c>
      <c r="E11" t="s">
        <v>24</v>
      </c>
      <c r="F11">
        <v>170</v>
      </c>
      <c r="G11">
        <v>5.88</v>
      </c>
      <c r="H11">
        <v>5.5</v>
      </c>
      <c r="I11">
        <f t="shared" si="0"/>
        <v>57.445626465380286</v>
      </c>
    </row>
    <row r="12" spans="1:9" x14ac:dyDescent="0.5">
      <c r="A12" t="s">
        <v>22</v>
      </c>
      <c r="B12" t="s">
        <v>9</v>
      </c>
      <c r="C12" t="s">
        <v>10</v>
      </c>
      <c r="D12" t="s">
        <v>32</v>
      </c>
      <c r="E12" t="s">
        <v>28</v>
      </c>
      <c r="F12">
        <v>200</v>
      </c>
      <c r="G12">
        <v>5</v>
      </c>
      <c r="H12">
        <v>8.5</v>
      </c>
      <c r="I12">
        <f t="shared" si="0"/>
        <v>71.414284285428508</v>
      </c>
    </row>
    <row r="13" spans="1:9" x14ac:dyDescent="0.5">
      <c r="A13" t="s">
        <v>22</v>
      </c>
      <c r="B13" t="s">
        <v>9</v>
      </c>
      <c r="C13" t="s">
        <v>10</v>
      </c>
      <c r="D13" t="s">
        <v>33</v>
      </c>
      <c r="E13" t="s">
        <v>29</v>
      </c>
      <c r="F13">
        <v>180</v>
      </c>
      <c r="G13">
        <v>5.56</v>
      </c>
      <c r="H13">
        <v>8</v>
      </c>
      <c r="I13">
        <f t="shared" si="0"/>
        <v>69.282032302755098</v>
      </c>
    </row>
    <row r="14" spans="1:9" x14ac:dyDescent="0.5">
      <c r="A14" t="s">
        <v>22</v>
      </c>
      <c r="B14" t="s">
        <v>9</v>
      </c>
      <c r="C14" t="s">
        <v>10</v>
      </c>
      <c r="D14" t="s">
        <v>34</v>
      </c>
      <c r="E14" t="s">
        <v>30</v>
      </c>
      <c r="F14">
        <v>200</v>
      </c>
      <c r="G14">
        <v>5</v>
      </c>
      <c r="H14">
        <v>9</v>
      </c>
      <c r="I14">
        <f t="shared" si="0"/>
        <v>73.484692283495349</v>
      </c>
    </row>
    <row r="15" spans="1:9" x14ac:dyDescent="0.5">
      <c r="A15" t="s">
        <v>22</v>
      </c>
      <c r="B15" t="s">
        <v>9</v>
      </c>
      <c r="C15" t="s">
        <v>10</v>
      </c>
      <c r="D15" t="s">
        <v>35</v>
      </c>
      <c r="E15" t="s">
        <v>31</v>
      </c>
      <c r="F15">
        <v>200</v>
      </c>
      <c r="G15">
        <v>5</v>
      </c>
      <c r="H15">
        <v>9.6</v>
      </c>
      <c r="I15">
        <f t="shared" si="0"/>
        <v>75.894663844041105</v>
      </c>
    </row>
    <row r="16" spans="1:9" x14ac:dyDescent="0.5">
      <c r="A16" t="s">
        <v>52</v>
      </c>
      <c r="B16" t="s">
        <v>45</v>
      </c>
      <c r="C16" t="s">
        <v>44</v>
      </c>
      <c r="D16" t="s">
        <v>43</v>
      </c>
      <c r="E16" t="s">
        <v>36</v>
      </c>
      <c r="F16">
        <v>150</v>
      </c>
      <c r="G16">
        <v>6.67</v>
      </c>
      <c r="H16">
        <v>3.5</v>
      </c>
      <c r="I16">
        <f t="shared" si="0"/>
        <v>45.825756949558397</v>
      </c>
    </row>
    <row r="17" spans="1:9" x14ac:dyDescent="0.5">
      <c r="A17" t="s">
        <v>52</v>
      </c>
      <c r="B17" t="s">
        <v>46</v>
      </c>
      <c r="C17" t="s">
        <v>44</v>
      </c>
      <c r="D17" t="s">
        <v>43</v>
      </c>
      <c r="E17" t="s">
        <v>37</v>
      </c>
      <c r="F17">
        <v>140</v>
      </c>
      <c r="G17">
        <v>7.14</v>
      </c>
      <c r="H17">
        <v>3.5</v>
      </c>
      <c r="I17">
        <f t="shared" si="0"/>
        <v>45.825756949558397</v>
      </c>
    </row>
    <row r="18" spans="1:9" x14ac:dyDescent="0.5">
      <c r="A18" t="s">
        <v>52</v>
      </c>
      <c r="B18" t="s">
        <v>47</v>
      </c>
      <c r="C18" t="s">
        <v>44</v>
      </c>
      <c r="D18" t="s">
        <v>43</v>
      </c>
      <c r="E18" t="s">
        <v>38</v>
      </c>
      <c r="F18">
        <v>120</v>
      </c>
      <c r="G18">
        <v>8.33</v>
      </c>
      <c r="H18">
        <v>7.5</v>
      </c>
      <c r="I18">
        <f t="shared" si="0"/>
        <v>67.082039324993687</v>
      </c>
    </row>
    <row r="19" spans="1:9" x14ac:dyDescent="0.5">
      <c r="A19" t="s">
        <v>52</v>
      </c>
      <c r="B19" t="s">
        <v>48</v>
      </c>
      <c r="C19" t="s">
        <v>44</v>
      </c>
      <c r="D19" t="s">
        <v>43</v>
      </c>
      <c r="E19" t="s">
        <v>39</v>
      </c>
      <c r="F19">
        <v>140</v>
      </c>
      <c r="G19">
        <v>7.14</v>
      </c>
      <c r="H19">
        <v>5</v>
      </c>
      <c r="I19">
        <f t="shared" si="0"/>
        <v>54.772255750516614</v>
      </c>
    </row>
    <row r="20" spans="1:9" x14ac:dyDescent="0.5">
      <c r="A20" t="s">
        <v>52</v>
      </c>
      <c r="B20" t="s">
        <v>49</v>
      </c>
      <c r="C20" t="s">
        <v>44</v>
      </c>
      <c r="D20" t="s">
        <v>43</v>
      </c>
      <c r="E20" t="s">
        <v>40</v>
      </c>
      <c r="F20">
        <v>120</v>
      </c>
      <c r="G20">
        <v>8.33</v>
      </c>
      <c r="H20">
        <v>5</v>
      </c>
      <c r="I20">
        <f t="shared" si="0"/>
        <v>54.772255750516614</v>
      </c>
    </row>
    <row r="21" spans="1:9" x14ac:dyDescent="0.5">
      <c r="A21" t="s">
        <v>52</v>
      </c>
      <c r="B21" t="s">
        <v>50</v>
      </c>
      <c r="C21" t="s">
        <v>44</v>
      </c>
      <c r="D21" t="s">
        <v>43</v>
      </c>
      <c r="E21" t="s">
        <v>41</v>
      </c>
      <c r="F21">
        <v>170</v>
      </c>
      <c r="G21">
        <v>5.88</v>
      </c>
      <c r="H21">
        <v>12</v>
      </c>
      <c r="I21">
        <f t="shared" si="0"/>
        <v>84.852813742385692</v>
      </c>
    </row>
    <row r="22" spans="1:9" x14ac:dyDescent="0.5">
      <c r="A22" t="s">
        <v>52</v>
      </c>
      <c r="B22" t="s">
        <v>51</v>
      </c>
      <c r="C22" t="s">
        <v>44</v>
      </c>
      <c r="D22" t="s">
        <v>43</v>
      </c>
      <c r="E22" t="s">
        <v>42</v>
      </c>
      <c r="F22">
        <v>210</v>
      </c>
      <c r="G22">
        <v>4.76</v>
      </c>
      <c r="H22">
        <v>7.5</v>
      </c>
      <c r="I22">
        <f t="shared" si="0"/>
        <v>67.082039324993687</v>
      </c>
    </row>
    <row r="23" spans="1:9" x14ac:dyDescent="0.5">
      <c r="A23" t="s">
        <v>55</v>
      </c>
      <c r="B23" t="s">
        <v>54</v>
      </c>
      <c r="C23" t="s">
        <v>10</v>
      </c>
      <c r="D23" t="s">
        <v>53</v>
      </c>
      <c r="E23" t="s">
        <v>59</v>
      </c>
      <c r="F23">
        <v>240</v>
      </c>
      <c r="G23">
        <v>4.17</v>
      </c>
      <c r="H23">
        <v>9</v>
      </c>
      <c r="I23">
        <f t="shared" si="0"/>
        <v>73.484692283495349</v>
      </c>
    </row>
    <row r="24" spans="1:9" x14ac:dyDescent="0.5">
      <c r="A24" t="s">
        <v>58</v>
      </c>
      <c r="B24" t="s">
        <v>57</v>
      </c>
      <c r="C24" t="s">
        <v>44</v>
      </c>
      <c r="D24" t="s">
        <v>56</v>
      </c>
      <c r="E24" t="s">
        <v>60</v>
      </c>
      <c r="F24">
        <v>140</v>
      </c>
      <c r="G24">
        <v>7.14</v>
      </c>
      <c r="H24">
        <v>2</v>
      </c>
      <c r="I24">
        <f t="shared" si="0"/>
        <v>34.641016151377549</v>
      </c>
    </row>
    <row r="25" spans="1:9" x14ac:dyDescent="0.5">
      <c r="A25" t="s">
        <v>64</v>
      </c>
      <c r="B25" t="s">
        <v>63</v>
      </c>
      <c r="C25" t="s">
        <v>44</v>
      </c>
      <c r="D25" t="s">
        <v>62</v>
      </c>
      <c r="E25" t="s">
        <v>61</v>
      </c>
      <c r="F25">
        <v>110</v>
      </c>
      <c r="G25">
        <v>9.09</v>
      </c>
      <c r="H25">
        <v>3</v>
      </c>
      <c r="I25">
        <f t="shared" si="0"/>
        <v>42.426406871192846</v>
      </c>
    </row>
    <row r="26" spans="1:9" x14ac:dyDescent="0.5">
      <c r="A26" t="s">
        <v>64</v>
      </c>
      <c r="B26" t="s">
        <v>63</v>
      </c>
      <c r="C26" t="s">
        <v>44</v>
      </c>
      <c r="D26" t="s">
        <v>66</v>
      </c>
      <c r="E26" t="s">
        <v>65</v>
      </c>
      <c r="F26">
        <v>130</v>
      </c>
      <c r="G26">
        <v>7.69</v>
      </c>
      <c r="H26">
        <v>9</v>
      </c>
      <c r="I26">
        <f t="shared" si="0"/>
        <v>73.484692283495349</v>
      </c>
    </row>
    <row r="27" spans="1:9" x14ac:dyDescent="0.5">
      <c r="A27" t="s">
        <v>64</v>
      </c>
      <c r="B27" t="s">
        <v>68</v>
      </c>
      <c r="C27" t="s">
        <v>44</v>
      </c>
      <c r="D27" t="s">
        <v>62</v>
      </c>
      <c r="E27" t="s">
        <v>67</v>
      </c>
      <c r="F27">
        <v>110</v>
      </c>
      <c r="G27">
        <v>9.09</v>
      </c>
      <c r="H27">
        <v>1.5</v>
      </c>
      <c r="I27">
        <f t="shared" si="0"/>
        <v>29.999999999999996</v>
      </c>
    </row>
    <row r="28" spans="1:9" x14ac:dyDescent="0.5">
      <c r="A28" t="s">
        <v>64</v>
      </c>
      <c r="B28" t="s">
        <v>68</v>
      </c>
      <c r="C28" t="s">
        <v>44</v>
      </c>
      <c r="D28" t="s">
        <v>69</v>
      </c>
      <c r="E28" t="s">
        <v>71</v>
      </c>
      <c r="F28">
        <v>170</v>
      </c>
      <c r="G28">
        <v>5.88</v>
      </c>
      <c r="H28">
        <v>7</v>
      </c>
      <c r="I28">
        <f t="shared" si="0"/>
        <v>64.807406984078611</v>
      </c>
    </row>
    <row r="29" spans="1:9" x14ac:dyDescent="0.5">
      <c r="A29" t="s">
        <v>74</v>
      </c>
      <c r="B29" t="s">
        <v>73</v>
      </c>
      <c r="C29" t="s">
        <v>10</v>
      </c>
      <c r="D29" t="s">
        <v>72</v>
      </c>
      <c r="E29" t="s">
        <v>70</v>
      </c>
      <c r="F29">
        <v>130</v>
      </c>
      <c r="G29">
        <v>7.69</v>
      </c>
      <c r="H29">
        <v>2</v>
      </c>
      <c r="I29">
        <f t="shared" si="0"/>
        <v>34.641016151377549</v>
      </c>
    </row>
    <row r="30" spans="1:9" x14ac:dyDescent="0.5">
      <c r="A30" t="s">
        <v>74</v>
      </c>
      <c r="B30" t="s">
        <v>73</v>
      </c>
      <c r="C30" t="s">
        <v>10</v>
      </c>
      <c r="D30" t="s">
        <v>75</v>
      </c>
      <c r="E30" t="s">
        <v>76</v>
      </c>
      <c r="F30">
        <v>130</v>
      </c>
      <c r="G30">
        <v>7.69</v>
      </c>
      <c r="H30">
        <v>2.5</v>
      </c>
      <c r="I30">
        <f t="shared" si="0"/>
        <v>38.729833462074168</v>
      </c>
    </row>
    <row r="31" spans="1:9" x14ac:dyDescent="0.5">
      <c r="A31" t="s">
        <v>85</v>
      </c>
      <c r="B31" t="s">
        <v>57</v>
      </c>
      <c r="C31" t="s">
        <v>44</v>
      </c>
      <c r="D31" t="s">
        <v>81</v>
      </c>
      <c r="E31" t="s">
        <v>77</v>
      </c>
      <c r="F31">
        <v>150</v>
      </c>
      <c r="G31">
        <v>6.67</v>
      </c>
      <c r="H31">
        <v>6.5</v>
      </c>
      <c r="I31">
        <f t="shared" si="0"/>
        <v>62.44997998398398</v>
      </c>
    </row>
    <row r="32" spans="1:9" x14ac:dyDescent="0.5">
      <c r="A32" t="s">
        <v>85</v>
      </c>
      <c r="B32" t="s">
        <v>57</v>
      </c>
      <c r="C32" t="s">
        <v>44</v>
      </c>
      <c r="D32" t="s">
        <v>82</v>
      </c>
      <c r="E32" t="s">
        <v>78</v>
      </c>
      <c r="F32">
        <v>140</v>
      </c>
      <c r="G32">
        <v>7.14</v>
      </c>
      <c r="H32">
        <v>7</v>
      </c>
      <c r="I32">
        <f t="shared" si="0"/>
        <v>64.807406984078611</v>
      </c>
    </row>
    <row r="33" spans="1:9" x14ac:dyDescent="0.5">
      <c r="A33" t="s">
        <v>85</v>
      </c>
      <c r="B33" t="s">
        <v>57</v>
      </c>
      <c r="C33" t="s">
        <v>44</v>
      </c>
      <c r="D33" t="s">
        <v>83</v>
      </c>
      <c r="E33" t="s">
        <v>79</v>
      </c>
      <c r="F33">
        <v>140</v>
      </c>
      <c r="G33">
        <v>7.14</v>
      </c>
      <c r="H33">
        <v>8.5</v>
      </c>
      <c r="I33">
        <f t="shared" si="0"/>
        <v>71.414284285428508</v>
      </c>
    </row>
    <row r="34" spans="1:9" x14ac:dyDescent="0.5">
      <c r="A34" t="s">
        <v>85</v>
      </c>
      <c r="B34" t="s">
        <v>57</v>
      </c>
      <c r="C34" t="s">
        <v>44</v>
      </c>
      <c r="D34" t="s">
        <v>84</v>
      </c>
      <c r="E34" t="s">
        <v>80</v>
      </c>
      <c r="F34">
        <v>170</v>
      </c>
      <c r="G34">
        <v>5.88</v>
      </c>
      <c r="H34">
        <v>11.5</v>
      </c>
      <c r="I34">
        <f t="shared" si="0"/>
        <v>83.066238629180745</v>
      </c>
    </row>
    <row r="36" spans="1:9" x14ac:dyDescent="0.5">
      <c r="A36" s="1" t="s">
        <v>86</v>
      </c>
      <c r="F36" s="1">
        <v>169.7</v>
      </c>
      <c r="G36" s="1">
        <v>6.2</v>
      </c>
      <c r="H36" s="1">
        <v>6.8</v>
      </c>
      <c r="I36" s="1">
        <v>62.1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Polovnikov</dc:creator>
  <cp:lastModifiedBy>Kirill Polovnikov</cp:lastModifiedBy>
  <dcterms:created xsi:type="dcterms:W3CDTF">2025-11-03T14:31:43Z</dcterms:created>
  <dcterms:modified xsi:type="dcterms:W3CDTF">2025-11-04T16:58:01Z</dcterms:modified>
</cp:coreProperties>
</file>